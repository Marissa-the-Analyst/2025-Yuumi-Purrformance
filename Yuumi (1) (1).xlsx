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yuda\Downloads\"/>
    </mc:Choice>
  </mc:AlternateContent>
  <xr:revisionPtr revIDLastSave="0" documentId="13_ncr:1_{81C2ABAF-64D3-41C3-BFA7-1DF75EBA0C42}" xr6:coauthVersionLast="47" xr6:coauthVersionMax="47" xr10:uidLastSave="{00000000-0000-0000-0000-000000000000}"/>
  <bookViews>
    <workbookView xWindow="-24015" yWindow="2445" windowWidth="20145" windowHeight="12660" firstSheet="1" activeTab="1" xr2:uid="{A7873637-40F0-46B8-8F9B-7CAC4FE3B6CE}"/>
  </bookViews>
  <sheets>
    <sheet name="Sheet2" sheetId="2" state="hidden" r:id="rId1"/>
    <sheet name="general data" sheetId="1" r:id="rId2"/>
    <sheet name="champion buffs related" sheetId="3" r:id="rId3"/>
    <sheet name="formatted buffs" sheetId="5" r:id="rId4"/>
  </sheets>
  <definedNames>
    <definedName name="_xlnm._FilterDatabase" localSheetId="3" hidden="1">'formatted buffs'!$A$1:$E$25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</calcChain>
</file>

<file path=xl/sharedStrings.xml><?xml version="1.0" encoding="utf-8"?>
<sst xmlns="http://schemas.openxmlformats.org/spreadsheetml/2006/main" count="301" uniqueCount="106">
  <si>
    <t>Yuumi player's saw the most success when they build these core items in this order</t>
  </si>
  <si>
    <r>
      <t xml:space="preserve">Yuumi got </t>
    </r>
    <r>
      <rPr>
        <b/>
        <sz val="11"/>
        <color theme="1"/>
        <rFont val="Aptos Narrow"/>
        <family val="2"/>
        <scheme val="minor"/>
      </rPr>
      <t>2 buffs</t>
    </r>
    <r>
      <rPr>
        <sz val="11"/>
        <color theme="1"/>
        <rFont val="Aptos Narrow"/>
        <family val="2"/>
        <scheme val="minor"/>
      </rPr>
      <t xml:space="preserve"> this year</t>
    </r>
  </si>
  <si>
    <t>Throughout the year, Yuumi dominated when these champs were on the enemy team</t>
  </si>
  <si>
    <t>Yuumi struggles against these tanks</t>
  </si>
  <si>
    <t>Row Labels</t>
  </si>
  <si>
    <t>Average of Win Rate</t>
  </si>
  <si>
    <r>
      <t>Yuumi got</t>
    </r>
    <r>
      <rPr>
        <b/>
        <sz val="11"/>
        <color theme="1"/>
        <rFont val="Aptos Narrow"/>
        <family val="2"/>
        <scheme val="minor"/>
      </rPr>
      <t xml:space="preserve"> 6 nerfs</t>
    </r>
    <r>
      <rPr>
        <sz val="11"/>
        <color theme="1"/>
        <rFont val="Aptos Narrow"/>
        <family val="2"/>
        <scheme val="minor"/>
      </rPr>
      <t xml:space="preserve"> this year</t>
    </r>
  </si>
  <si>
    <t>Average of Strong Against Win Rate</t>
  </si>
  <si>
    <t>Average of Weak Against Win Rate</t>
  </si>
  <si>
    <t>Exhaust, Heal slightly outperforms Exhaust, Ignite</t>
  </si>
  <si>
    <t>Moonstone Renewer, Ardent Censer, Redemption</t>
  </si>
  <si>
    <r>
      <t>Yuumi had an</t>
    </r>
    <r>
      <rPr>
        <b/>
        <sz val="11"/>
        <color theme="1"/>
        <rFont val="Aptos Narrow"/>
        <family val="2"/>
        <scheme val="minor"/>
      </rPr>
      <t xml:space="preserve"> average winrate</t>
    </r>
    <r>
      <rPr>
        <sz val="11"/>
        <color theme="1"/>
        <rFont val="Aptos Narrow"/>
        <family val="2"/>
        <scheme val="minor"/>
      </rPr>
      <t xml:space="preserve"> of: 48.73</t>
    </r>
  </si>
  <si>
    <t>Veigar</t>
  </si>
  <si>
    <t>Leona</t>
  </si>
  <si>
    <t>Moonstone Renewer, Mikael's Blessing, Dawncore</t>
  </si>
  <si>
    <t>Ashe</t>
  </si>
  <si>
    <t>Braum</t>
  </si>
  <si>
    <t>Exhaust, Heal</t>
  </si>
  <si>
    <t>Ardent Censer, Mikael's Blessing, Moonstone Renewer</t>
  </si>
  <si>
    <t>Swain</t>
  </si>
  <si>
    <t>Taric</t>
  </si>
  <si>
    <t>Exhaust, Ignite</t>
  </si>
  <si>
    <t>Mikael's Blessing, Moonstone Renewer, Ardent Censer</t>
  </si>
  <si>
    <t>Grand Total</t>
  </si>
  <si>
    <t>Nautilus</t>
  </si>
  <si>
    <t>Moonstone Renewer, Ardent Censer, Dawncore</t>
  </si>
  <si>
    <t>Ardent Censer, Moonstone Renewer, Dawncore</t>
  </si>
  <si>
    <t>Sum of Ban Rate</t>
  </si>
  <si>
    <t>Sum of Pick Rate</t>
  </si>
  <si>
    <t>Date Recorded</t>
  </si>
  <si>
    <t>Win Rate</t>
  </si>
  <si>
    <t>Pick Rate</t>
  </si>
  <si>
    <t>Ban Rate</t>
  </si>
  <si>
    <t>Patch</t>
  </si>
  <si>
    <t>Strong Against</t>
  </si>
  <si>
    <t>Strong Against Win Rate</t>
  </si>
  <si>
    <t>Weak Against</t>
  </si>
  <si>
    <t>Weak Against Win Rate</t>
  </si>
  <si>
    <t>Highest Win Rate Items 1</t>
  </si>
  <si>
    <t>HWR Item 2</t>
  </si>
  <si>
    <t>HWR Item 3</t>
  </si>
  <si>
    <t>Build Path</t>
  </si>
  <si>
    <t>Highest Win Rate Summoner Spell 1</t>
  </si>
  <si>
    <t>HWR SS 2</t>
  </si>
  <si>
    <t>Summoners</t>
  </si>
  <si>
    <t>Lux</t>
  </si>
  <si>
    <t>Moonstone Renewer</t>
  </si>
  <si>
    <t>Ardent Censer</t>
  </si>
  <si>
    <t>Dawncore</t>
  </si>
  <si>
    <t>Exhaust</t>
  </si>
  <si>
    <t>Ignite</t>
  </si>
  <si>
    <t>Mikael's Blessing</t>
  </si>
  <si>
    <t>Heal</t>
  </si>
  <si>
    <t>Zyra</t>
  </si>
  <si>
    <t>Zoe</t>
  </si>
  <si>
    <t>Redemption</t>
  </si>
  <si>
    <t>Senna</t>
  </si>
  <si>
    <t>Rell</t>
  </si>
  <si>
    <t>Hwei</t>
  </si>
  <si>
    <t>Mel</t>
  </si>
  <si>
    <t>Amumu</t>
  </si>
  <si>
    <t>patch</t>
  </si>
  <si>
    <t>Yuumi Centric</t>
  </si>
  <si>
    <t>Other factors buffed</t>
  </si>
  <si>
    <t>Other factors nerfed</t>
  </si>
  <si>
    <t>Skin Release</t>
  </si>
  <si>
    <t>Passive Buff</t>
  </si>
  <si>
    <t>Ult Buff</t>
  </si>
  <si>
    <t>Bloodsong</t>
  </si>
  <si>
    <t>Zaz'Zak's</t>
  </si>
  <si>
    <t>Lulu</t>
  </si>
  <si>
    <t>Staff of Flowing Water</t>
  </si>
  <si>
    <t>Seraphine</t>
  </si>
  <si>
    <t>Passive Nerf</t>
  </si>
  <si>
    <t>Sona</t>
  </si>
  <si>
    <t>E Nerf</t>
  </si>
  <si>
    <t>Morgana</t>
  </si>
  <si>
    <t>Ult Nerf</t>
  </si>
  <si>
    <t>Bard</t>
  </si>
  <si>
    <t>Nightbringer Skin release</t>
  </si>
  <si>
    <t>Q Nerf</t>
  </si>
  <si>
    <t>W Nerf</t>
  </si>
  <si>
    <t>category</t>
  </si>
  <si>
    <t>buff/nerf/adjust</t>
  </si>
  <si>
    <t>id</t>
  </si>
  <si>
    <t>desc</t>
  </si>
  <si>
    <t>Yuumi</t>
  </si>
  <si>
    <t>buff</t>
  </si>
  <si>
    <t>Passive &amp; Ult Buff</t>
  </si>
  <si>
    <t>Item</t>
  </si>
  <si>
    <t>nerf</t>
  </si>
  <si>
    <t>Bloodsong and Zaz'Zak's nerf could increase enchanter win rate</t>
  </si>
  <si>
    <t>Other Support</t>
  </si>
  <si>
    <t>Lulu nerf</t>
  </si>
  <si>
    <t>Staff of Flowing Water buff</t>
  </si>
  <si>
    <t>Seraphine buff</t>
  </si>
  <si>
    <t>Yuumi E and Passive Nerf</t>
  </si>
  <si>
    <t>Sona buffed</t>
  </si>
  <si>
    <t>Morgana buff</t>
  </si>
  <si>
    <t>Yuumi Ult nerfed</t>
  </si>
  <si>
    <t>Bard Buff</t>
  </si>
  <si>
    <t>skin</t>
  </si>
  <si>
    <t>Yuumi Q &amp; W nerf</t>
  </si>
  <si>
    <t>Ignite Buff</t>
  </si>
  <si>
    <t>Redemption Nerf</t>
  </si>
  <si>
    <t>Morgana nerf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</si>
</sst>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3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8">
    <dxf>
      <numFmt numFmtId="2" formatCode="0.0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wrapText="1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802218"/>
      <color rgb="FFFBE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[Yuumi (1) (1).xlsx]Sheet2!PivotTable2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players see Yuumi more, they react strongly and ban her more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Sheet2!$B$11</c:f>
              <c:strCache>
                <c:ptCount val="1"/>
                <c:pt idx="0">
                  <c:v>Sum of Ban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Sheet2!$A$12:$A$30</c:f>
              <c:strCache>
                <c:ptCount val="19"/>
                <c:pt idx="0">
                  <c:v>15.01</c:v>
                </c:pt>
                <c:pt idx="1">
                  <c:v>15.02</c:v>
                </c:pt>
                <c:pt idx="2">
                  <c:v>15.03</c:v>
                </c:pt>
                <c:pt idx="3">
                  <c:v>15.04</c:v>
                </c:pt>
                <c:pt idx="4">
                  <c:v>15.05</c:v>
                </c:pt>
                <c:pt idx="5">
                  <c:v>15.06</c:v>
                </c:pt>
                <c:pt idx="6">
                  <c:v>15.07</c:v>
                </c:pt>
                <c:pt idx="7">
                  <c:v>15.08</c:v>
                </c:pt>
                <c:pt idx="8">
                  <c:v>15.09</c:v>
                </c:pt>
                <c:pt idx="9">
                  <c:v>15.1</c:v>
                </c:pt>
                <c:pt idx="10">
                  <c:v>15.11</c:v>
                </c:pt>
                <c:pt idx="11">
                  <c:v>15.12</c:v>
                </c:pt>
                <c:pt idx="12">
                  <c:v>15.13</c:v>
                </c:pt>
                <c:pt idx="13">
                  <c:v>15.14</c:v>
                </c:pt>
                <c:pt idx="14">
                  <c:v>15.15</c:v>
                </c:pt>
                <c:pt idx="15">
                  <c:v>15.17</c:v>
                </c:pt>
                <c:pt idx="16">
                  <c:v>15.19</c:v>
                </c:pt>
                <c:pt idx="17">
                  <c:v>15.22</c:v>
                </c:pt>
                <c:pt idx="18">
                  <c:v>15.23</c:v>
                </c:pt>
              </c:strCache>
            </c:strRef>
          </c:cat>
          <c:val>
            <c:numRef>
              <c:f>Sheet2!$B$12:$B$30</c:f>
              <c:numCache>
                <c:formatCode>General</c:formatCode>
                <c:ptCount val="19"/>
                <c:pt idx="0">
                  <c:v>3.99</c:v>
                </c:pt>
                <c:pt idx="1">
                  <c:v>4.66</c:v>
                </c:pt>
                <c:pt idx="2">
                  <c:v>10.32</c:v>
                </c:pt>
                <c:pt idx="3">
                  <c:v>5.86</c:v>
                </c:pt>
                <c:pt idx="4">
                  <c:v>5.74</c:v>
                </c:pt>
                <c:pt idx="5">
                  <c:v>6.36</c:v>
                </c:pt>
                <c:pt idx="6">
                  <c:v>15.53</c:v>
                </c:pt>
                <c:pt idx="7">
                  <c:v>7.46</c:v>
                </c:pt>
                <c:pt idx="8">
                  <c:v>7.11</c:v>
                </c:pt>
                <c:pt idx="9">
                  <c:v>6.47</c:v>
                </c:pt>
                <c:pt idx="10">
                  <c:v>6.02</c:v>
                </c:pt>
                <c:pt idx="11">
                  <c:v>6.26</c:v>
                </c:pt>
                <c:pt idx="12">
                  <c:v>6.89</c:v>
                </c:pt>
                <c:pt idx="13">
                  <c:v>6.31</c:v>
                </c:pt>
                <c:pt idx="14">
                  <c:v>6.61</c:v>
                </c:pt>
                <c:pt idx="15">
                  <c:v>5.63</c:v>
                </c:pt>
                <c:pt idx="16">
                  <c:v>5.26</c:v>
                </c:pt>
                <c:pt idx="17">
                  <c:v>4.6399999999999997</c:v>
                </c:pt>
                <c:pt idx="18">
                  <c:v>4.3899999999999997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1-432C-AC75-FE15122C6F0F}"/>
            </c:ext>
          </c:extLst>
        </c:ser>
        <c:ser>
          <c:idx val="1"/>
          <c:order val="1"/>
          <c:tx>
            <c:strRef>
              <c:f>Sheet2!$C$11</c:f>
              <c:strCache>
                <c:ptCount val="1"/>
                <c:pt idx="0">
                  <c:v>Sum of Pick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Sheet2!$A$12:$A$30</c:f>
              <c:strCache>
                <c:ptCount val="19"/>
                <c:pt idx="0">
                  <c:v>15.01</c:v>
                </c:pt>
                <c:pt idx="1">
                  <c:v>15.02</c:v>
                </c:pt>
                <c:pt idx="2">
                  <c:v>15.03</c:v>
                </c:pt>
                <c:pt idx="3">
                  <c:v>15.04</c:v>
                </c:pt>
                <c:pt idx="4">
                  <c:v>15.05</c:v>
                </c:pt>
                <c:pt idx="5">
                  <c:v>15.06</c:v>
                </c:pt>
                <c:pt idx="6">
                  <c:v>15.07</c:v>
                </c:pt>
                <c:pt idx="7">
                  <c:v>15.08</c:v>
                </c:pt>
                <c:pt idx="8">
                  <c:v>15.09</c:v>
                </c:pt>
                <c:pt idx="9">
                  <c:v>15.1</c:v>
                </c:pt>
                <c:pt idx="10">
                  <c:v>15.11</c:v>
                </c:pt>
                <c:pt idx="11">
                  <c:v>15.12</c:v>
                </c:pt>
                <c:pt idx="12">
                  <c:v>15.13</c:v>
                </c:pt>
                <c:pt idx="13">
                  <c:v>15.14</c:v>
                </c:pt>
                <c:pt idx="14">
                  <c:v>15.15</c:v>
                </c:pt>
                <c:pt idx="15">
                  <c:v>15.17</c:v>
                </c:pt>
                <c:pt idx="16">
                  <c:v>15.19</c:v>
                </c:pt>
                <c:pt idx="17">
                  <c:v>15.22</c:v>
                </c:pt>
                <c:pt idx="18">
                  <c:v>15.23</c:v>
                </c:pt>
              </c:strCache>
            </c:strRef>
          </c:cat>
          <c:val>
            <c:numRef>
              <c:f>Sheet2!$C$12:$C$30</c:f>
              <c:numCache>
                <c:formatCode>General</c:formatCode>
                <c:ptCount val="19"/>
                <c:pt idx="0">
                  <c:v>4.63</c:v>
                </c:pt>
                <c:pt idx="1">
                  <c:v>6.13</c:v>
                </c:pt>
                <c:pt idx="2">
                  <c:v>7.04</c:v>
                </c:pt>
                <c:pt idx="3">
                  <c:v>6.44</c:v>
                </c:pt>
                <c:pt idx="4">
                  <c:v>5.9</c:v>
                </c:pt>
                <c:pt idx="5">
                  <c:v>6.22</c:v>
                </c:pt>
                <c:pt idx="6">
                  <c:v>8.4600000000000009</c:v>
                </c:pt>
                <c:pt idx="7">
                  <c:v>5.97</c:v>
                </c:pt>
                <c:pt idx="8">
                  <c:v>5.77</c:v>
                </c:pt>
                <c:pt idx="9">
                  <c:v>5.52</c:v>
                </c:pt>
                <c:pt idx="10">
                  <c:v>5.5</c:v>
                </c:pt>
                <c:pt idx="11">
                  <c:v>5.8</c:v>
                </c:pt>
                <c:pt idx="12">
                  <c:v>5.82</c:v>
                </c:pt>
                <c:pt idx="13">
                  <c:v>5.76</c:v>
                </c:pt>
                <c:pt idx="14">
                  <c:v>5.72</c:v>
                </c:pt>
                <c:pt idx="15">
                  <c:v>4.8899999999999997</c:v>
                </c:pt>
                <c:pt idx="16">
                  <c:v>4.3899999999999997</c:v>
                </c:pt>
                <c:pt idx="17">
                  <c:v>3.97</c:v>
                </c:pt>
                <c:pt idx="18">
                  <c:v>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1-432C-AC75-FE15122C6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302544"/>
        <c:axId val="1267696728"/>
      </c:lineChart>
      <c:catAx>
        <c:axId val="99030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96728"/>
        <c:crosses val="autoZero"/>
        <c:auto val="1"/>
        <c:lblAlgn val="ctr"/>
        <c:lblOffset val="100"/>
        <c:noMultiLvlLbl val="0"/>
      </c:catAx>
      <c:valAx>
        <c:axId val="126769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885824</xdr:colOff>
      <xdr:row>8</xdr:row>
      <xdr:rowOff>566737</xdr:rowOff>
    </xdr:from>
    <xdr:to>
      <xdr:col>9</xdr:col>
      <xdr:colOff>76199</xdr:colOff>
      <xdr:row>26</xdr:row>
      <xdr:rowOff>114301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0CD545-9806-7A89-B075-E87496D2E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485775</xdr:colOff>
      <xdr:row>22</xdr:row>
      <xdr:rowOff>57150</xdr:rowOff>
    </xdr:from>
    <xdr:to>
      <xdr:col>4</xdr:col>
      <xdr:colOff>781050</xdr:colOff>
      <xdr:row>23</xdr:row>
      <xdr:rowOff>114300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BDE08BB3-C43D-96C6-7614-CDEFE6C472E5}"/>
            </a:ext>
          </a:extLst>
        </xdr:cNvPr>
        <xdr:cNvSpPr/>
      </xdr:nvSpPr>
      <xdr:spPr>
        <a:xfrm>
          <a:off x="6991350" y="6610350"/>
          <a:ext cx="295275" cy="24765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</xdr:col>
      <xdr:colOff>1962150</xdr:colOff>
      <xdr:row>22</xdr:row>
      <xdr:rowOff>114300</xdr:rowOff>
    </xdr:from>
    <xdr:to>
      <xdr:col>4</xdr:col>
      <xdr:colOff>2266950</xdr:colOff>
      <xdr:row>23</xdr:row>
      <xdr:rowOff>95250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37696D00-0DB4-415A-8B9C-62CCE5994526}"/>
            </a:ext>
          </a:extLst>
        </xdr:cNvPr>
        <xdr:cNvSpPr/>
      </xdr:nvSpPr>
      <xdr:spPr>
        <a:xfrm flipV="1">
          <a:off x="8467725" y="6667500"/>
          <a:ext cx="304800" cy="171450"/>
        </a:xfrm>
        <a:prstGeom prst="upArrow">
          <a:avLst/>
        </a:prstGeom>
        <a:solidFill>
          <a:srgbClr val="802218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5</xdr:col>
      <xdr:colOff>66675</xdr:colOff>
      <xdr:row>22</xdr:row>
      <xdr:rowOff>95250</xdr:rowOff>
    </xdr:from>
    <xdr:to>
      <xdr:col>5</xdr:col>
      <xdr:colOff>361950</xdr:colOff>
      <xdr:row>23</xdr:row>
      <xdr:rowOff>152400</xdr:rowOff>
    </xdr:to>
    <xdr:sp macro="" textlink="">
      <xdr:nvSpPr>
        <xdr:cNvPr id="7" name="Arrow: Up 6">
          <a:extLst>
            <a:ext uri="{FF2B5EF4-FFF2-40B4-BE49-F238E27FC236}">
              <a16:creationId xmlns:a16="http://schemas.microsoft.com/office/drawing/2014/main" id="{6F23D7A9-B648-4B56-A442-EE0DA8E74983}"/>
            </a:ext>
          </a:extLst>
        </xdr:cNvPr>
        <xdr:cNvSpPr/>
      </xdr:nvSpPr>
      <xdr:spPr>
        <a:xfrm flipV="1">
          <a:off x="8943975" y="6648450"/>
          <a:ext cx="295275" cy="247650"/>
        </a:xfrm>
        <a:prstGeom prst="upArrow">
          <a:avLst/>
        </a:prstGeom>
        <a:solidFill>
          <a:srgbClr val="802218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638175</xdr:colOff>
      <xdr:row>22</xdr:row>
      <xdr:rowOff>85725</xdr:rowOff>
    </xdr:from>
    <xdr:to>
      <xdr:col>7</xdr:col>
      <xdr:colOff>38100</xdr:colOff>
      <xdr:row>23</xdr:row>
      <xdr:rowOff>142875</xdr:rowOff>
    </xdr:to>
    <xdr:sp macro="" textlink="">
      <xdr:nvSpPr>
        <xdr:cNvPr id="8" name="Arrow: Up 7">
          <a:extLst>
            <a:ext uri="{FF2B5EF4-FFF2-40B4-BE49-F238E27FC236}">
              <a16:creationId xmlns:a16="http://schemas.microsoft.com/office/drawing/2014/main" id="{BBBF5AFA-4418-44A3-A6A1-D3C470E53649}"/>
            </a:ext>
          </a:extLst>
        </xdr:cNvPr>
        <xdr:cNvSpPr/>
      </xdr:nvSpPr>
      <xdr:spPr>
        <a:xfrm flipV="1">
          <a:off x="9915525" y="6638925"/>
          <a:ext cx="295275" cy="247650"/>
        </a:xfrm>
        <a:prstGeom prst="upArrow">
          <a:avLst/>
        </a:prstGeom>
        <a:solidFill>
          <a:srgbClr val="802218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142875</xdr:colOff>
      <xdr:row>22</xdr:row>
      <xdr:rowOff>95250</xdr:rowOff>
    </xdr:from>
    <xdr:to>
      <xdr:col>7</xdr:col>
      <xdr:colOff>438150</xdr:colOff>
      <xdr:row>23</xdr:row>
      <xdr:rowOff>152400</xdr:rowOff>
    </xdr:to>
    <xdr:sp macro="" textlink="">
      <xdr:nvSpPr>
        <xdr:cNvPr id="9" name="Arrow: Up 8">
          <a:extLst>
            <a:ext uri="{FF2B5EF4-FFF2-40B4-BE49-F238E27FC236}">
              <a16:creationId xmlns:a16="http://schemas.microsoft.com/office/drawing/2014/main" id="{6423DC84-6796-42B4-977A-25E89892A923}"/>
            </a:ext>
          </a:extLst>
        </xdr:cNvPr>
        <xdr:cNvSpPr/>
      </xdr:nvSpPr>
      <xdr:spPr>
        <a:xfrm flipV="1">
          <a:off x="10315575" y="6648450"/>
          <a:ext cx="295275" cy="247650"/>
        </a:xfrm>
        <a:prstGeom prst="upArrow">
          <a:avLst/>
        </a:prstGeom>
        <a:solidFill>
          <a:srgbClr val="802218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</xdr:col>
      <xdr:colOff>1847850</xdr:colOff>
      <xdr:row>11</xdr:row>
      <xdr:rowOff>77560</xdr:rowOff>
    </xdr:from>
    <xdr:to>
      <xdr:col>7</xdr:col>
      <xdr:colOff>232681</xdr:colOff>
      <xdr:row>15</xdr:row>
      <xdr:rowOff>36739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50B3F72F-F8B0-4073-7E3D-7F409F36547A}"/>
            </a:ext>
          </a:extLst>
        </xdr:cNvPr>
        <xdr:cNvGrpSpPr/>
      </xdr:nvGrpSpPr>
      <xdr:grpSpPr>
        <a:xfrm>
          <a:off x="6029325" y="4725760"/>
          <a:ext cx="2051956" cy="721179"/>
          <a:chOff x="13954125" y="5287735"/>
          <a:chExt cx="2051956" cy="721179"/>
        </a:xfrm>
      </xdr:grpSpPr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7AC46D54-81CC-DFAC-1507-83A69090CDB4}"/>
              </a:ext>
            </a:extLst>
          </xdr:cNvPr>
          <xdr:cNvSpPr/>
        </xdr:nvSpPr>
        <xdr:spPr>
          <a:xfrm>
            <a:off x="13954125" y="5591175"/>
            <a:ext cx="85725" cy="85725"/>
          </a:xfrm>
          <a:prstGeom prst="ellipse">
            <a:avLst/>
          </a:prstGeom>
          <a:solidFill>
            <a:srgbClr val="C0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38014D4C-5168-52AB-FDE0-D3B4FCDC1F2B}"/>
              </a:ext>
            </a:extLst>
          </xdr:cNvPr>
          <xdr:cNvCxnSpPr/>
        </xdr:nvCxnSpPr>
        <xdr:spPr>
          <a:xfrm flipV="1">
            <a:off x="14001750" y="5467350"/>
            <a:ext cx="171450" cy="147638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556CB3D-9982-4468-78E2-23A2DC42DAB6}"/>
              </a:ext>
            </a:extLst>
          </xdr:cNvPr>
          <xdr:cNvSpPr txBox="1"/>
        </xdr:nvSpPr>
        <xdr:spPr>
          <a:xfrm>
            <a:off x="14156870" y="5287735"/>
            <a:ext cx="1849211" cy="721179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900" kern="1200"/>
              <a:t>The only time she had above a 50%</a:t>
            </a:r>
            <a:r>
              <a:rPr lang="en-US" sz="900" kern="1200" baseline="0"/>
              <a:t> winrate</a:t>
            </a:r>
            <a:endParaRPr lang="en-US" sz="900" kern="1200"/>
          </a:p>
        </xdr:txBody>
      </xdr:sp>
    </xdr:grpSp>
    <xdr:clientData/>
  </xdr:twoCellAnchor>
  <xdr:twoCellAnchor>
    <xdr:from>
      <xdr:col>6</xdr:col>
      <xdr:colOff>171450</xdr:colOff>
      <xdr:row>18</xdr:row>
      <xdr:rowOff>76200</xdr:rowOff>
    </xdr:from>
    <xdr:to>
      <xdr:col>6</xdr:col>
      <xdr:colOff>409575</xdr:colOff>
      <xdr:row>19</xdr:row>
      <xdr:rowOff>104775</xdr:rowOff>
    </xdr:to>
    <xdr:sp macro="" textlink="">
      <xdr:nvSpPr>
        <xdr:cNvPr id="15" name="Star: 5 Points 14">
          <a:extLst>
            <a:ext uri="{FF2B5EF4-FFF2-40B4-BE49-F238E27FC236}">
              <a16:creationId xmlns:a16="http://schemas.microsoft.com/office/drawing/2014/main" id="{274BB76C-5774-3CB6-C367-A3C7C93DAAD7}"/>
            </a:ext>
          </a:extLst>
        </xdr:cNvPr>
        <xdr:cNvSpPr/>
      </xdr:nvSpPr>
      <xdr:spPr>
        <a:xfrm>
          <a:off x="9448800" y="5867400"/>
          <a:ext cx="238125" cy="219075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1514475</xdr:colOff>
      <xdr:row>16</xdr:row>
      <xdr:rowOff>133350</xdr:rowOff>
    </xdr:from>
    <xdr:to>
      <xdr:col>7</xdr:col>
      <xdr:colOff>1752600</xdr:colOff>
      <xdr:row>17</xdr:row>
      <xdr:rowOff>161925</xdr:rowOff>
    </xdr:to>
    <xdr:sp macro="" textlink="">
      <xdr:nvSpPr>
        <xdr:cNvPr id="16" name="Star: 5 Points 15">
          <a:extLst>
            <a:ext uri="{FF2B5EF4-FFF2-40B4-BE49-F238E27FC236}">
              <a16:creationId xmlns:a16="http://schemas.microsoft.com/office/drawing/2014/main" id="{4D8DD6F0-1861-4896-85BF-9A8C3F15381C}"/>
            </a:ext>
          </a:extLst>
        </xdr:cNvPr>
        <xdr:cNvSpPr/>
      </xdr:nvSpPr>
      <xdr:spPr>
        <a:xfrm>
          <a:off x="11687175" y="5543550"/>
          <a:ext cx="238125" cy="219075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1790700</xdr:colOff>
      <xdr:row>16</xdr:row>
      <xdr:rowOff>76200</xdr:rowOff>
    </xdr:from>
    <xdr:to>
      <xdr:col>8</xdr:col>
      <xdr:colOff>361950</xdr:colOff>
      <xdr:row>17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C950AAA-7762-CD81-D1E0-227B8BD227CE}"/>
            </a:ext>
          </a:extLst>
        </xdr:cNvPr>
        <xdr:cNvSpPr txBox="1"/>
      </xdr:nvSpPr>
      <xdr:spPr>
        <a:xfrm>
          <a:off x="11963400" y="5486400"/>
          <a:ext cx="7715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New Skin</a:t>
          </a:r>
        </a:p>
      </xdr:txBody>
    </xdr:sp>
    <xdr:clientData/>
  </xdr:twoCellAnchor>
  <xdr:twoCellAnchor editAs="oneCell">
    <xdr:from>
      <xdr:col>4</xdr:col>
      <xdr:colOff>790575</xdr:colOff>
      <xdr:row>22</xdr:row>
      <xdr:rowOff>133349</xdr:rowOff>
    </xdr:from>
    <xdr:to>
      <xdr:col>4</xdr:col>
      <xdr:colOff>1047750</xdr:colOff>
      <xdr:row>24</xdr:row>
      <xdr:rowOff>9524</xdr:rowOff>
    </xdr:to>
    <xdr:pic>
      <xdr:nvPicPr>
        <xdr:cNvPr id="19" name="Graphic 18" descr="Right pointing backhand index with solid fill">
          <a:extLst>
            <a:ext uri="{FF2B5EF4-FFF2-40B4-BE49-F238E27FC236}">
              <a16:creationId xmlns:a16="http://schemas.microsoft.com/office/drawing/2014/main" id="{19C269BF-C401-9CB4-CD8F-7D6441971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96150" y="6686549"/>
          <a:ext cx="257175" cy="2571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h, Marissa" refreshedDate="46025.584064467592" createdVersion="8" refreshedVersion="8" minRefreshableVersion="3" recordCount="19" xr:uid="{CF3A6980-E66B-4B99-9ED2-3B475207A2E9}">
  <cacheSource type="worksheet">
    <worksheetSource ref="A1:P20" sheet="general data"/>
  </cacheSource>
  <cacheFields count="16">
    <cacheField name="Date Recorded" numFmtId="14">
      <sharedItems containsSemiMixedTypes="0" containsNonDate="0" containsDate="1" containsString="0" minDate="2025-01-16T00:00:00" maxDate="2025-12-19T00:00:00"/>
    </cacheField>
    <cacheField name="Win Rate" numFmtId="0">
      <sharedItems containsSemiMixedTypes="0" containsString="0" containsNumber="1" minValue="47.07" maxValue="50.28" count="18">
        <n v="47.71"/>
        <n v="48.98"/>
        <n v="48.58"/>
        <n v="49.61"/>
        <n v="49.44"/>
        <n v="49.97"/>
        <n v="50.28"/>
        <n v="48.81"/>
        <n v="49.53"/>
        <n v="48.85"/>
        <n v="48.67"/>
        <n v="49.2"/>
        <n v="49.11"/>
        <n v="48.73"/>
        <n v="47.93"/>
        <n v="47.36"/>
        <n v="47.27"/>
        <n v="47.07"/>
      </sharedItems>
    </cacheField>
    <cacheField name="Pick Rate" numFmtId="0">
      <sharedItems containsSemiMixedTypes="0" containsString="0" containsNumber="1" minValue="3.97" maxValue="8.4600000000000009" count="19">
        <n v="4.63"/>
        <n v="6.13"/>
        <n v="7.04"/>
        <n v="6.44"/>
        <n v="5.9"/>
        <n v="6.22"/>
        <n v="8.4600000000000009"/>
        <n v="5.97"/>
        <n v="5.77"/>
        <n v="5.52"/>
        <n v="5.5"/>
        <n v="5.8"/>
        <n v="5.82"/>
        <n v="5.76"/>
        <n v="5.72"/>
        <n v="4.8899999999999997"/>
        <n v="4.3899999999999997"/>
        <n v="3.97"/>
        <n v="4.13"/>
      </sharedItems>
    </cacheField>
    <cacheField name="Ban Rate" numFmtId="0">
      <sharedItems containsSemiMixedTypes="0" containsString="0" containsNumber="1" minValue="3.99" maxValue="15.53" count="19">
        <n v="3.99"/>
        <n v="4.66"/>
        <n v="10.32"/>
        <n v="5.86"/>
        <n v="5.74"/>
        <n v="6.36"/>
        <n v="15.53"/>
        <n v="7.46"/>
        <n v="7.11"/>
        <n v="6.47"/>
        <n v="6.02"/>
        <n v="6.26"/>
        <n v="6.89"/>
        <n v="6.31"/>
        <n v="6.61"/>
        <n v="5.63"/>
        <n v="5.26"/>
        <n v="4.6399999999999997"/>
        <n v="4.3899999999999997"/>
      </sharedItems>
    </cacheField>
    <cacheField name="Patch" numFmtId="0">
      <sharedItems containsSemiMixedTypes="0" containsString="0" containsNumber="1" minValue="15.01" maxValue="15.23" count="19">
        <n v="15.01"/>
        <n v="15.02"/>
        <n v="15.03"/>
        <n v="15.04"/>
        <n v="15.05"/>
        <n v="15.06"/>
        <n v="15.07"/>
        <n v="15.08"/>
        <n v="15.09"/>
        <n v="15.1"/>
        <n v="15.11"/>
        <n v="15.12"/>
        <n v="15.13"/>
        <n v="15.14"/>
        <n v="15.15"/>
        <n v="15.17"/>
        <n v="15.19"/>
        <n v="15.22"/>
        <n v="15.23"/>
      </sharedItems>
    </cacheField>
    <cacheField name="Strong Against" numFmtId="0">
      <sharedItems count="7">
        <s v="Swain"/>
        <s v="Ashe"/>
        <s v="Zyra"/>
        <s v="Veigar"/>
        <s v="Senna"/>
        <s v="Hwei"/>
        <s v="Mel"/>
      </sharedItems>
    </cacheField>
    <cacheField name="Strong Against Win Rate" numFmtId="0">
      <sharedItems containsSemiMixedTypes="0" containsString="0" containsNumber="1" minValue="51.49" maxValue="70.27"/>
    </cacheField>
    <cacheField name="Weak Against" numFmtId="0">
      <sharedItems count="8">
        <s v="Lux"/>
        <s v="Taric"/>
        <s v="Nautilus"/>
        <s v="Zoe"/>
        <s v="Rell"/>
        <s v="Braum"/>
        <s v="Leona"/>
        <s v="Amumu"/>
      </sharedItems>
    </cacheField>
    <cacheField name="Weak Against Win Rate" numFmtId="0">
      <sharedItems containsSemiMixedTypes="0" containsString="0" containsNumber="1" minValue="37.340000000000003" maxValue="48.41"/>
    </cacheField>
    <cacheField name="Highest Win Rate Items 1" numFmtId="0">
      <sharedItems/>
    </cacheField>
    <cacheField name="HWR Item 2" numFmtId="0">
      <sharedItems/>
    </cacheField>
    <cacheField name="HWR Item 3" numFmtId="0">
      <sharedItems/>
    </cacheField>
    <cacheField name="Build Path" numFmtId="0">
      <sharedItems count="6">
        <s v="Moonstone Renewer, Ardent Censer, Dawncore"/>
        <s v="Moonstone Renewer, Mikael's Blessing, Dawncore"/>
        <s v="Moonstone Renewer, Ardent Censer, Redemption"/>
        <s v="Mikael's Blessing, Moonstone Renewer, Ardent Censer"/>
        <s v="Ardent Censer, Moonstone Renewer, Dawncore"/>
        <s v="Ardent Censer, Mikael's Blessing, Moonstone Renewer"/>
      </sharedItems>
    </cacheField>
    <cacheField name="Highest Win Rate Summoner Spell 1" numFmtId="0">
      <sharedItems/>
    </cacheField>
    <cacheField name="HWR SS 2" numFmtId="0">
      <sharedItems/>
    </cacheField>
    <cacheField name="Summoners" numFmtId="0">
      <sharedItems count="2">
        <s v="Exhaust, Ignite"/>
        <s v="Exhaust, He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d v="2025-01-16T00:00:00"/>
    <x v="0"/>
    <x v="0"/>
    <x v="0"/>
    <x v="0"/>
    <x v="0"/>
    <n v="52.47"/>
    <x v="0"/>
    <n v="48.41"/>
    <s v="Moonstone Renewer"/>
    <s v="Ardent Censer"/>
    <s v="Dawncore"/>
    <x v="0"/>
    <s v="Exhaust"/>
    <s v="Ignite"/>
    <x v="0"/>
  </r>
  <r>
    <d v="2025-01-27T00:00:00"/>
    <x v="1"/>
    <x v="1"/>
    <x v="1"/>
    <x v="1"/>
    <x v="1"/>
    <n v="55.58"/>
    <x v="1"/>
    <n v="43.43"/>
    <s v="Moonstone Renewer"/>
    <s v="Mikael's Blessing"/>
    <s v="Dawncore"/>
    <x v="1"/>
    <s v="Exhaust"/>
    <s v="Heal"/>
    <x v="1"/>
  </r>
  <r>
    <d v="2025-02-05T00:00:00"/>
    <x v="2"/>
    <x v="2"/>
    <x v="2"/>
    <x v="2"/>
    <x v="2"/>
    <n v="61.9"/>
    <x v="2"/>
    <n v="37.340000000000003"/>
    <s v="Moonstone Renewer"/>
    <s v="Ardent Censer"/>
    <s v="Dawncore"/>
    <x v="0"/>
    <s v="Exhaust"/>
    <s v="Ignite"/>
    <x v="0"/>
  </r>
  <r>
    <d v="2025-02-20T00:00:00"/>
    <x v="3"/>
    <x v="3"/>
    <x v="3"/>
    <x v="3"/>
    <x v="3"/>
    <n v="70.27"/>
    <x v="3"/>
    <n v="38.46"/>
    <s v="Moonstone Renewer"/>
    <s v="Ardent Censer"/>
    <s v="Redemption"/>
    <x v="2"/>
    <s v="Exhaust"/>
    <s v="Heal"/>
    <x v="1"/>
  </r>
  <r>
    <d v="2025-03-12T00:00:00"/>
    <x v="4"/>
    <x v="4"/>
    <x v="4"/>
    <x v="4"/>
    <x v="4"/>
    <n v="55.15"/>
    <x v="4"/>
    <n v="45.49"/>
    <s v="Moonstone Renewer"/>
    <s v="Ardent Censer"/>
    <s v="Dawncore"/>
    <x v="0"/>
    <s v="Exhaust"/>
    <s v="Heal"/>
    <x v="1"/>
  </r>
  <r>
    <d v="2025-03-25T00:00:00"/>
    <x v="5"/>
    <x v="5"/>
    <x v="5"/>
    <x v="5"/>
    <x v="5"/>
    <n v="56.27"/>
    <x v="5"/>
    <n v="45.68"/>
    <s v="Moonstone Renewer"/>
    <s v="Ardent Censer"/>
    <s v="Dawncore"/>
    <x v="0"/>
    <s v="Exhaust"/>
    <s v="Heal"/>
    <x v="1"/>
  </r>
  <r>
    <d v="2025-04-14T00:00:00"/>
    <x v="6"/>
    <x v="6"/>
    <x v="6"/>
    <x v="6"/>
    <x v="6"/>
    <n v="60.23"/>
    <x v="5"/>
    <n v="44.15"/>
    <s v="Mikael's Blessing"/>
    <s v="Moonstone Renewer"/>
    <s v="Ardent Censer"/>
    <x v="3"/>
    <s v="Exhaust"/>
    <s v="Heal"/>
    <x v="1"/>
  </r>
  <r>
    <d v="2025-04-30T00:00:00"/>
    <x v="7"/>
    <x v="7"/>
    <x v="7"/>
    <x v="7"/>
    <x v="1"/>
    <n v="54.38"/>
    <x v="5"/>
    <n v="44.79"/>
    <s v="Ardent Censer"/>
    <s v="Moonstone Renewer"/>
    <s v="Dawncore"/>
    <x v="4"/>
    <s v="Exhaust"/>
    <s v="Heal"/>
    <x v="1"/>
  </r>
  <r>
    <d v="2025-05-14T00:00:00"/>
    <x v="8"/>
    <x v="8"/>
    <x v="8"/>
    <x v="8"/>
    <x v="1"/>
    <n v="56.45"/>
    <x v="6"/>
    <n v="44.98"/>
    <s v="Moonstone Renewer"/>
    <s v="Ardent Censer"/>
    <s v="Dawncore"/>
    <x v="0"/>
    <s v="Exhaust"/>
    <s v="Heal"/>
    <x v="1"/>
  </r>
  <r>
    <d v="2025-06-19T00:00:00"/>
    <x v="9"/>
    <x v="9"/>
    <x v="9"/>
    <x v="9"/>
    <x v="1"/>
    <n v="55.88"/>
    <x v="5"/>
    <n v="44.56"/>
    <s v="Ardent Censer"/>
    <s v="Mikael's Blessing"/>
    <s v="Moonstone Renewer"/>
    <x v="5"/>
    <s v="Exhaust"/>
    <s v="Heal"/>
    <x v="1"/>
  </r>
  <r>
    <d v="2025-06-19T00:00:00"/>
    <x v="10"/>
    <x v="10"/>
    <x v="10"/>
    <x v="10"/>
    <x v="1"/>
    <n v="54.56"/>
    <x v="5"/>
    <n v="43.13"/>
    <s v="Ardent Censer"/>
    <s v="Moonstone Renewer"/>
    <s v="Dawncore"/>
    <x v="4"/>
    <s v="Exhaust"/>
    <s v="Heal"/>
    <x v="1"/>
  </r>
  <r>
    <d v="2025-06-19T00:00:00"/>
    <x v="11"/>
    <x v="11"/>
    <x v="11"/>
    <x v="11"/>
    <x v="1"/>
    <n v="54.97"/>
    <x v="5"/>
    <n v="43.8"/>
    <s v="Moonstone Renewer"/>
    <s v="Ardent Censer"/>
    <s v="Dawncore"/>
    <x v="0"/>
    <s v="Exhaust"/>
    <s v="Heal"/>
    <x v="1"/>
  </r>
  <r>
    <d v="2025-07-10T00:00:00"/>
    <x v="12"/>
    <x v="12"/>
    <x v="12"/>
    <x v="12"/>
    <x v="1"/>
    <n v="55.94"/>
    <x v="5"/>
    <n v="44.03"/>
    <s v="Moonstone Renewer"/>
    <s v="Ardent Censer"/>
    <s v="Dawncore"/>
    <x v="0"/>
    <s v="Exhaust"/>
    <s v="Heal"/>
    <x v="1"/>
  </r>
  <r>
    <d v="2025-08-06T00:00:00"/>
    <x v="13"/>
    <x v="13"/>
    <x v="13"/>
    <x v="13"/>
    <x v="1"/>
    <n v="55.07"/>
    <x v="1"/>
    <n v="44.25"/>
    <s v="Ardent Censer"/>
    <s v="Moonstone Renewer"/>
    <s v="Dawncore"/>
    <x v="4"/>
    <s v="Exhaust"/>
    <s v="Heal"/>
    <x v="1"/>
  </r>
  <r>
    <d v="2025-08-06T00:00:00"/>
    <x v="7"/>
    <x v="14"/>
    <x v="14"/>
    <x v="14"/>
    <x v="1"/>
    <n v="57.19"/>
    <x v="1"/>
    <n v="44.03"/>
    <s v="Ardent Censer"/>
    <s v="Moonstone Renewer"/>
    <s v="Dawncore"/>
    <x v="4"/>
    <s v="Exhaust"/>
    <s v="Heal"/>
    <x v="1"/>
  </r>
  <r>
    <d v="2025-09-10T00:00:00"/>
    <x v="14"/>
    <x v="15"/>
    <x v="15"/>
    <x v="15"/>
    <x v="3"/>
    <n v="53.17"/>
    <x v="2"/>
    <n v="44.25"/>
    <s v="Ardent Censer"/>
    <s v="Moonstone Renewer"/>
    <s v="Dawncore"/>
    <x v="4"/>
    <s v="Exhaust"/>
    <s v="Heal"/>
    <x v="1"/>
  </r>
  <r>
    <d v="2025-10-09T00:00:00"/>
    <x v="15"/>
    <x v="16"/>
    <x v="16"/>
    <x v="16"/>
    <x v="0"/>
    <n v="51.49"/>
    <x v="1"/>
    <n v="42.94"/>
    <s v="Moonstone Renewer"/>
    <s v="Ardent Censer"/>
    <s v="Dawncore"/>
    <x v="0"/>
    <s v="Exhaust"/>
    <s v="Heal"/>
    <x v="1"/>
  </r>
  <r>
    <d v="2025-11-21T00:00:00"/>
    <x v="16"/>
    <x v="17"/>
    <x v="17"/>
    <x v="17"/>
    <x v="0"/>
    <n v="52.12"/>
    <x v="6"/>
    <n v="43.71"/>
    <s v="Mikael's Blessing"/>
    <s v="Moonstone Renewer"/>
    <s v="Ardent Censer"/>
    <x v="3"/>
    <s v="Exhaust"/>
    <s v="Heal"/>
    <x v="1"/>
  </r>
  <r>
    <d v="2025-12-18T00:00:00"/>
    <x v="17"/>
    <x v="18"/>
    <x v="18"/>
    <x v="18"/>
    <x v="1"/>
    <n v="56.07"/>
    <x v="7"/>
    <n v="42.53"/>
    <s v="Moonstone Renewer"/>
    <s v="Ardent Censer"/>
    <s v="Dawncore"/>
    <x v="0"/>
    <s v="Exhaust"/>
    <s v="Heal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C7D45-93BC-46C3-BF02-F066DA0AFAF2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11:C30" firstHeaderRow="0" firstDataRow="1" firstDataCol="1"/>
  <pivotFields count="16">
    <pivotField numFmtId="14" showAll="0"/>
    <pivotField showAll="0">
      <items count="19">
        <item x="17"/>
        <item x="16"/>
        <item x="15"/>
        <item x="0"/>
        <item x="14"/>
        <item x="2"/>
        <item x="10"/>
        <item x="13"/>
        <item x="7"/>
        <item x="9"/>
        <item x="1"/>
        <item x="12"/>
        <item x="11"/>
        <item x="4"/>
        <item x="8"/>
        <item x="3"/>
        <item x="5"/>
        <item x="6"/>
        <item t="default"/>
      </items>
    </pivotField>
    <pivotField dataField="1" showAll="0">
      <items count="20">
        <item x="17"/>
        <item x="18"/>
        <item x="16"/>
        <item x="0"/>
        <item x="15"/>
        <item x="10"/>
        <item x="9"/>
        <item x="14"/>
        <item x="13"/>
        <item x="8"/>
        <item x="11"/>
        <item x="12"/>
        <item x="4"/>
        <item x="7"/>
        <item x="1"/>
        <item x="5"/>
        <item x="3"/>
        <item x="2"/>
        <item x="6"/>
        <item t="default"/>
      </items>
    </pivotField>
    <pivotField dataField="1" showAll="0">
      <items count="20">
        <item x="0"/>
        <item x="18"/>
        <item x="17"/>
        <item x="1"/>
        <item x="16"/>
        <item x="15"/>
        <item x="4"/>
        <item x="3"/>
        <item x="10"/>
        <item x="11"/>
        <item x="13"/>
        <item x="5"/>
        <item x="9"/>
        <item x="14"/>
        <item x="12"/>
        <item x="8"/>
        <item x="7"/>
        <item x="2"/>
        <item x="6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5"/>
        <item x="4"/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Fields count="1">
    <field x="-2"/>
  </colFields>
  <colItems count="2">
    <i>
      <x/>
    </i>
    <i i="1">
      <x v="1"/>
    </i>
  </colItems>
  <dataFields count="2">
    <dataField name="Sum of Ban Rate" fld="3" baseField="0" baseItem="0"/>
    <dataField name="Sum of Pick Rate" fld="2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94D09-FBD4-46FA-93AE-F30E11A79954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P7" firstHeaderRow="1" firstDataRow="1" firstDataCol="1"/>
  <pivotFields count="16">
    <pivotField numFmtId="14" showAll="0"/>
    <pivotField dataField="1" showAll="0"/>
    <pivotField showAll="0"/>
    <pivotField showAll="0"/>
    <pivotField showAll="0"/>
    <pivotField showAll="0">
      <items count="8">
        <item x="1"/>
        <item h="1" x="5"/>
        <item h="1" x="6"/>
        <item h="1" x="4"/>
        <item x="0"/>
        <item x="3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erage of Win Rate" fld="1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2C34B-7403-4B81-A83F-A158E9227713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16">
    <pivotField numFmtId="14" showAll="0"/>
    <pivotField showAll="0"/>
    <pivotField showAll="0"/>
    <pivotField showAll="0"/>
    <pivotField showAll="0"/>
    <pivotField axis="axisRow" showAll="0" sortType="descending">
      <items count="8">
        <item x="1"/>
        <item h="1" x="5"/>
        <item h="1" x="6"/>
        <item h="1" x="4"/>
        <item x="0"/>
        <item x="3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5"/>
    </i>
    <i>
      <x/>
    </i>
    <i>
      <x v="4"/>
    </i>
    <i t="grand">
      <x/>
    </i>
  </rowItems>
  <colItems count="1">
    <i/>
  </colItems>
  <dataFields count="1">
    <dataField name="Average of Strong Against Win Rate" fld="6" subtotal="average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3B155-654C-447E-9CF0-4F5A774B2C11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8" firstHeaderRow="1" firstDataRow="1" firstDataCol="1"/>
  <pivotFields count="16">
    <pivotField numFmtId="14" showAll="0"/>
    <pivotField showAll="0"/>
    <pivotField showAll="0"/>
    <pivotField showAll="0"/>
    <pivotField showAll="0"/>
    <pivotField showAll="0">
      <items count="8">
        <item x="1"/>
        <item h="1" x="5"/>
        <item h="1" x="6"/>
        <item h="1" x="4"/>
        <item x="0"/>
        <item x="3"/>
        <item h="1" x="2"/>
        <item t="default"/>
      </items>
    </pivotField>
    <pivotField showAll="0"/>
    <pivotField axis="axisRow" showAll="0" sortType="descending">
      <items count="9">
        <item h="1" x="7"/>
        <item x="5"/>
        <item x="6"/>
        <item h="1" x="0"/>
        <item x="2"/>
        <item h="1" x="4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 v="2"/>
    </i>
    <i>
      <x v="1"/>
    </i>
    <i>
      <x v="6"/>
    </i>
    <i>
      <x v="4"/>
    </i>
    <i t="grand">
      <x/>
    </i>
  </rowItems>
  <colItems count="1">
    <i/>
  </colItems>
  <dataFields count="1">
    <dataField name="Average of Weak Against Win Rate" fld="8" subtotal="average" baseField="7" baseItem="1"/>
  </dataFields>
  <formats count="5">
    <format dxfId="4">
      <pivotArea dataOnly="0" labelOnly="1" fieldPosition="0">
        <references count="1">
          <reference field="7" count="1">
            <x v="6"/>
          </reference>
        </references>
      </pivotArea>
    </format>
    <format dxfId="3">
      <pivotArea dataOnly="0" labelOnly="1" fieldPosition="0">
        <references count="1">
          <reference field="7" count="1">
            <x v="4"/>
          </reference>
        </references>
      </pivotArea>
    </format>
    <format dxfId="2">
      <pivotArea dataOnly="0" labelOnly="1" fieldPosition="0">
        <references count="1">
          <reference field="7" count="1">
            <x v="2"/>
          </reference>
        </references>
      </pivotArea>
    </format>
    <format dxfId="1">
      <pivotArea dataOnly="0" labelOnly="1" fieldPosition="0">
        <references count="1">
          <reference field="7" count="1">
            <x v="1"/>
          </reference>
        </references>
      </pivotArea>
    </format>
    <format dxfId="0">
      <pivotArea collapsedLevelsAreSubtotals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441E5-E0F2-4AF3-AEEC-085584585756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B41" firstHeaderRow="1" firstDataRow="1" firstDataCol="1"/>
  <pivotFields count="16">
    <pivotField numFmtId="14" showAll="0"/>
    <pivotField dataField="1" showAll="0"/>
    <pivotField showAll="0"/>
    <pivotField showAll="0"/>
    <pivotField showAll="0"/>
    <pivotField showAll="0">
      <items count="8">
        <item x="1"/>
        <item h="1" x="5"/>
        <item h="1" x="6"/>
        <item h="1" x="4"/>
        <item x="0"/>
        <item x="3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erage of Win Rate" fld="1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9EC58-2036-497D-B155-0F9FCC52B21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9" firstHeaderRow="1" firstDataRow="1" firstDataCol="1"/>
  <pivotFields count="16"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5"/>
        <item x="4"/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2"/>
  </rowFields>
  <rowItems count="6">
    <i>
      <x v="4"/>
    </i>
    <i>
      <x v="5"/>
    </i>
    <i>
      <x/>
    </i>
    <i>
      <x v="2"/>
    </i>
    <i>
      <x v="3"/>
    </i>
    <i>
      <x v="1"/>
    </i>
  </rowItems>
  <colItems count="1">
    <i/>
  </colItems>
  <dataFields count="1">
    <dataField name="Average of Win Rate" fld="1" subtotal="average" baseField="12" baseItem="0"/>
  </dataFields>
  <formats count="3">
    <format dxfId="7">
      <pivotArea collapsedLevelsAreSubtotals="1" fieldPosition="0">
        <references count="1">
          <reference field="12" count="1">
            <x v="4"/>
          </reference>
        </references>
      </pivotArea>
    </format>
    <format dxfId="6">
      <pivotArea dataOnly="0" labelOnly="1" fieldPosition="0">
        <references count="1">
          <reference field="12" count="1">
            <x v="4"/>
          </reference>
        </references>
      </pivotArea>
    </format>
    <format dxfId="5">
      <pivotArea dataOnly="0" labelOnly="1" fieldPosition="0">
        <references count="1"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6B20-BEA1-488E-B565-5F96BE51BD5A}">
  <dimension ref="A2:P41"/>
  <sheetViews>
    <sheetView zoomScaleNormal="100" workbookViewId="0">
      <selection activeCell="O3" sqref="O3:P3"/>
    </sheetView>
  </sheetViews>
  <sheetFormatPr defaultRowHeight="15" x14ac:dyDescent="0.25"/>
  <cols>
    <col min="1" max="1" width="13.85546875" bestFit="1" customWidth="1"/>
    <col min="2" max="2" width="19.28515625" bestFit="1" customWidth="1"/>
    <col min="3" max="3" width="16.140625" bestFit="1" customWidth="1"/>
    <col min="4" max="4" width="13.42578125" bestFit="1" customWidth="1"/>
    <col min="5" max="5" width="35.5703125" customWidth="1"/>
    <col min="6" max="6" width="6" bestFit="1" customWidth="1"/>
    <col min="7" max="7" width="13.42578125" bestFit="1" customWidth="1"/>
    <col min="8" max="8" width="33" bestFit="1" customWidth="1"/>
    <col min="9" max="9" width="6" bestFit="1" customWidth="1"/>
    <col min="10" max="10" width="16.5703125" customWidth="1"/>
    <col min="11" max="11" width="22.140625" customWidth="1"/>
    <col min="12" max="13" width="6" bestFit="1" customWidth="1"/>
    <col min="14" max="14" width="5" bestFit="1" customWidth="1"/>
    <col min="15" max="15" width="6" bestFit="1" customWidth="1"/>
    <col min="16" max="16" width="29" customWidth="1"/>
    <col min="17" max="19" width="6" bestFit="1" customWidth="1"/>
    <col min="20" max="20" width="16.140625" bestFit="1" customWidth="1"/>
    <col min="21" max="31" width="6" bestFit="1" customWidth="1"/>
    <col min="32" max="32" width="5" bestFit="1" customWidth="1"/>
    <col min="33" max="37" width="6" bestFit="1" customWidth="1"/>
  </cols>
  <sheetData>
    <row r="2" spans="1:16" ht="48" customHeight="1" x14ac:dyDescent="0.25">
      <c r="A2" s="18" t="s">
        <v>0</v>
      </c>
      <c r="B2" s="18"/>
      <c r="C2" s="11"/>
      <c r="D2" s="11"/>
      <c r="E2" t="s">
        <v>1</v>
      </c>
      <c r="G2" s="16" t="s">
        <v>2</v>
      </c>
      <c r="H2" s="16"/>
      <c r="J2" s="16" t="s">
        <v>3</v>
      </c>
      <c r="K2" s="16"/>
      <c r="L2" s="16"/>
      <c r="M2" s="16"/>
    </row>
    <row r="3" spans="1:16" x14ac:dyDescent="0.25">
      <c r="A3" s="4" t="s">
        <v>4</v>
      </c>
      <c r="B3" t="s">
        <v>5</v>
      </c>
      <c r="E3" t="s">
        <v>6</v>
      </c>
      <c r="G3" s="4" t="s">
        <v>4</v>
      </c>
      <c r="H3" t="s">
        <v>7</v>
      </c>
      <c r="J3" s="4" t="s">
        <v>4</v>
      </c>
      <c r="K3" t="s">
        <v>8</v>
      </c>
      <c r="O3" s="16" t="s">
        <v>9</v>
      </c>
      <c r="P3" s="16"/>
    </row>
    <row r="4" spans="1:16" ht="60" x14ac:dyDescent="0.25">
      <c r="A4" s="14" t="s">
        <v>10</v>
      </c>
      <c r="B4" s="7">
        <v>49.61</v>
      </c>
      <c r="E4" t="s">
        <v>11</v>
      </c>
      <c r="G4" s="5" t="s">
        <v>12</v>
      </c>
      <c r="H4">
        <v>61.72</v>
      </c>
      <c r="J4" s="6" t="s">
        <v>13</v>
      </c>
      <c r="K4" s="12">
        <v>44.344999999999999</v>
      </c>
      <c r="O4" s="4" t="s">
        <v>4</v>
      </c>
      <c r="P4" t="s">
        <v>5</v>
      </c>
    </row>
    <row r="5" spans="1:16" ht="17.25" customHeight="1" x14ac:dyDescent="0.25">
      <c r="A5" s="15" t="s">
        <v>14</v>
      </c>
      <c r="B5">
        <v>48.98</v>
      </c>
      <c r="G5" s="5" t="s">
        <v>15</v>
      </c>
      <c r="H5">
        <v>55.608999999999995</v>
      </c>
      <c r="J5" s="6" t="s">
        <v>16</v>
      </c>
      <c r="K5" s="12">
        <v>44.305714285714281</v>
      </c>
      <c r="O5" s="5" t="s">
        <v>17</v>
      </c>
      <c r="P5">
        <v>48.801176470588238</v>
      </c>
    </row>
    <row r="6" spans="1:16" ht="45.75" customHeight="1" x14ac:dyDescent="0.25">
      <c r="A6" s="15" t="s">
        <v>18</v>
      </c>
      <c r="B6">
        <v>48.85</v>
      </c>
      <c r="E6" s="13"/>
      <c r="F6" s="13"/>
      <c r="G6" s="5" t="s">
        <v>19</v>
      </c>
      <c r="H6">
        <v>52.026666666666671</v>
      </c>
      <c r="J6" s="6" t="s">
        <v>20</v>
      </c>
      <c r="K6" s="12">
        <v>43.662500000000001</v>
      </c>
      <c r="O6" s="5" t="s">
        <v>21</v>
      </c>
      <c r="P6">
        <v>48.144999999999996</v>
      </c>
    </row>
    <row r="7" spans="1:16" ht="45" customHeight="1" x14ac:dyDescent="0.25">
      <c r="A7" s="15" t="s">
        <v>22</v>
      </c>
      <c r="B7">
        <v>48.775000000000006</v>
      </c>
      <c r="G7" s="5" t="s">
        <v>23</v>
      </c>
      <c r="H7">
        <v>55.707333333333324</v>
      </c>
      <c r="J7" s="6" t="s">
        <v>24</v>
      </c>
      <c r="K7" s="12">
        <v>40.795000000000002</v>
      </c>
      <c r="O7" s="5" t="s">
        <v>23</v>
      </c>
      <c r="P7">
        <v>48.732105263157898</v>
      </c>
    </row>
    <row r="8" spans="1:16" ht="45" customHeight="1" x14ac:dyDescent="0.25">
      <c r="A8" s="15" t="s">
        <v>25</v>
      </c>
      <c r="B8">
        <v>48.663333333333334</v>
      </c>
      <c r="J8" s="5" t="s">
        <v>23</v>
      </c>
      <c r="K8">
        <v>43.67133333333333</v>
      </c>
    </row>
    <row r="9" spans="1:16" ht="45" customHeight="1" x14ac:dyDescent="0.25">
      <c r="A9" s="15" t="s">
        <v>26</v>
      </c>
      <c r="B9">
        <v>48.59</v>
      </c>
    </row>
    <row r="11" spans="1:16" x14ac:dyDescent="0.25">
      <c r="A11" s="4" t="s">
        <v>4</v>
      </c>
      <c r="B11" t="s">
        <v>27</v>
      </c>
      <c r="C11" t="s">
        <v>28</v>
      </c>
    </row>
    <row r="12" spans="1:16" x14ac:dyDescent="0.25">
      <c r="A12" s="5">
        <v>15.01</v>
      </c>
      <c r="B12">
        <v>3.99</v>
      </c>
      <c r="C12">
        <v>4.63</v>
      </c>
    </row>
    <row r="13" spans="1:16" x14ac:dyDescent="0.25">
      <c r="A13" s="5">
        <v>15.02</v>
      </c>
      <c r="B13">
        <v>4.66</v>
      </c>
      <c r="C13">
        <v>6.13</v>
      </c>
    </row>
    <row r="14" spans="1:16" x14ac:dyDescent="0.25">
      <c r="A14" s="5">
        <v>15.03</v>
      </c>
      <c r="B14">
        <v>10.32</v>
      </c>
      <c r="C14">
        <v>7.04</v>
      </c>
    </row>
    <row r="15" spans="1:16" x14ac:dyDescent="0.25">
      <c r="A15" s="5">
        <v>15.04</v>
      </c>
      <c r="B15">
        <v>5.86</v>
      </c>
      <c r="C15">
        <v>6.44</v>
      </c>
    </row>
    <row r="16" spans="1:16" x14ac:dyDescent="0.25">
      <c r="A16" s="5">
        <v>15.05</v>
      </c>
      <c r="B16">
        <v>5.74</v>
      </c>
      <c r="C16">
        <v>5.9</v>
      </c>
    </row>
    <row r="17" spans="1:3" x14ac:dyDescent="0.25">
      <c r="A17" s="5">
        <v>15.06</v>
      </c>
      <c r="B17">
        <v>6.36</v>
      </c>
      <c r="C17">
        <v>6.22</v>
      </c>
    </row>
    <row r="18" spans="1:3" x14ac:dyDescent="0.25">
      <c r="A18" s="5">
        <v>15.07</v>
      </c>
      <c r="B18">
        <v>15.53</v>
      </c>
      <c r="C18">
        <v>8.4600000000000009</v>
      </c>
    </row>
    <row r="19" spans="1:3" x14ac:dyDescent="0.25">
      <c r="A19" s="5">
        <v>15.08</v>
      </c>
      <c r="B19">
        <v>7.46</v>
      </c>
      <c r="C19">
        <v>5.97</v>
      </c>
    </row>
    <row r="20" spans="1:3" x14ac:dyDescent="0.25">
      <c r="A20" s="5">
        <v>15.09</v>
      </c>
      <c r="B20">
        <v>7.11</v>
      </c>
      <c r="C20">
        <v>5.77</v>
      </c>
    </row>
    <row r="21" spans="1:3" x14ac:dyDescent="0.25">
      <c r="A21" s="5">
        <v>15.1</v>
      </c>
      <c r="B21">
        <v>6.47</v>
      </c>
      <c r="C21">
        <v>5.52</v>
      </c>
    </row>
    <row r="22" spans="1:3" x14ac:dyDescent="0.25">
      <c r="A22" s="5">
        <v>15.11</v>
      </c>
      <c r="B22">
        <v>6.02</v>
      </c>
      <c r="C22">
        <v>5.5</v>
      </c>
    </row>
    <row r="23" spans="1:3" x14ac:dyDescent="0.25">
      <c r="A23" s="5">
        <v>15.12</v>
      </c>
      <c r="B23">
        <v>6.26</v>
      </c>
      <c r="C23">
        <v>5.8</v>
      </c>
    </row>
    <row r="24" spans="1:3" x14ac:dyDescent="0.25">
      <c r="A24" s="5">
        <v>15.13</v>
      </c>
      <c r="B24">
        <v>6.89</v>
      </c>
      <c r="C24">
        <v>5.82</v>
      </c>
    </row>
    <row r="25" spans="1:3" x14ac:dyDescent="0.25">
      <c r="A25" s="5">
        <v>15.14</v>
      </c>
      <c r="B25">
        <v>6.31</v>
      </c>
      <c r="C25">
        <v>5.76</v>
      </c>
    </row>
    <row r="26" spans="1:3" x14ac:dyDescent="0.25">
      <c r="A26" s="5">
        <v>15.15</v>
      </c>
      <c r="B26">
        <v>6.61</v>
      </c>
      <c r="C26">
        <v>5.72</v>
      </c>
    </row>
    <row r="27" spans="1:3" x14ac:dyDescent="0.25">
      <c r="A27" s="5">
        <v>15.17</v>
      </c>
      <c r="B27">
        <v>5.63</v>
      </c>
      <c r="C27">
        <v>4.8899999999999997</v>
      </c>
    </row>
    <row r="28" spans="1:3" x14ac:dyDescent="0.25">
      <c r="A28" s="5">
        <v>15.19</v>
      </c>
      <c r="B28">
        <v>5.26</v>
      </c>
      <c r="C28">
        <v>4.3899999999999997</v>
      </c>
    </row>
    <row r="29" spans="1:3" x14ac:dyDescent="0.25">
      <c r="A29" s="5">
        <v>15.22</v>
      </c>
      <c r="B29">
        <v>4.6399999999999997</v>
      </c>
      <c r="C29">
        <v>3.97</v>
      </c>
    </row>
    <row r="30" spans="1:3" x14ac:dyDescent="0.25">
      <c r="A30" s="5">
        <v>15.23</v>
      </c>
      <c r="B30">
        <v>4.3899999999999997</v>
      </c>
      <c r="C30">
        <v>4.13</v>
      </c>
    </row>
    <row r="37" spans="1:5" ht="33.75" customHeight="1" x14ac:dyDescent="0.25">
      <c r="A37" s="16" t="s">
        <v>9</v>
      </c>
      <c r="B37" s="16"/>
      <c r="D37" s="17"/>
      <c r="E37" s="17"/>
    </row>
    <row r="38" spans="1:5" x14ac:dyDescent="0.25">
      <c r="A38" s="4" t="s">
        <v>4</v>
      </c>
      <c r="B38" t="s">
        <v>5</v>
      </c>
    </row>
    <row r="39" spans="1:5" x14ac:dyDescent="0.25">
      <c r="A39" s="5" t="s">
        <v>17</v>
      </c>
      <c r="B39">
        <v>48.801176470588238</v>
      </c>
    </row>
    <row r="40" spans="1:5" x14ac:dyDescent="0.25">
      <c r="A40" s="5" t="s">
        <v>21</v>
      </c>
      <c r="B40">
        <v>48.144999999999996</v>
      </c>
    </row>
    <row r="41" spans="1:5" x14ac:dyDescent="0.25">
      <c r="A41" s="5" t="s">
        <v>23</v>
      </c>
      <c r="B41">
        <v>48.732105263157898</v>
      </c>
    </row>
  </sheetData>
  <mergeCells count="6">
    <mergeCell ref="O3:P3"/>
    <mergeCell ref="A37:B37"/>
    <mergeCell ref="D37:E37"/>
    <mergeCell ref="A2:B2"/>
    <mergeCell ref="G2:H2"/>
    <mergeCell ref="J2:M2"/>
  </mergeCell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5D94-BE67-4545-8D54-C2DCF53308B5}">
  <dimension ref="A1:P20"/>
  <sheetViews>
    <sheetView tabSelected="1" workbookViewId="0"/>
  </sheetViews>
  <sheetFormatPr defaultRowHeight="15" x14ac:dyDescent="0.25"/>
  <cols>
    <col min="1" max="1" width="10.7109375" customWidth="1"/>
    <col min="6" max="6" width="9.42578125" customWidth="1"/>
    <col min="10" max="10" width="20.140625" customWidth="1"/>
    <col min="11" max="12" width="19" bestFit="1" customWidth="1"/>
    <col min="13" max="13" width="49.28515625" bestFit="1" customWidth="1"/>
    <col min="14" max="14" width="10.5703125" customWidth="1"/>
    <col min="16" max="16" width="13.85546875" bestFit="1" customWidth="1"/>
  </cols>
  <sheetData>
    <row r="1" spans="1:16" ht="60" x14ac:dyDescent="0.25">
      <c r="A1" s="2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1" t="s">
        <v>39</v>
      </c>
      <c r="L1" s="1" t="s">
        <v>40</v>
      </c>
      <c r="M1" s="1" t="s">
        <v>41</v>
      </c>
      <c r="N1" s="2" t="s">
        <v>42</v>
      </c>
      <c r="O1" s="1" t="s">
        <v>43</v>
      </c>
      <c r="P1" s="1" t="s">
        <v>44</v>
      </c>
    </row>
    <row r="2" spans="1:16" x14ac:dyDescent="0.25">
      <c r="A2" s="3">
        <v>45673</v>
      </c>
      <c r="B2" s="1">
        <v>47.71</v>
      </c>
      <c r="C2" s="1">
        <v>4.63</v>
      </c>
      <c r="D2" s="1">
        <v>3.99</v>
      </c>
      <c r="E2" s="1">
        <v>15.01</v>
      </c>
      <c r="F2" s="1" t="s">
        <v>19</v>
      </c>
      <c r="G2" s="1">
        <v>52.47</v>
      </c>
      <c r="H2" s="1" t="s">
        <v>45</v>
      </c>
      <c r="I2" s="1">
        <v>48.41</v>
      </c>
      <c r="J2" s="1" t="s">
        <v>46</v>
      </c>
      <c r="K2" s="1" t="s">
        <v>47</v>
      </c>
      <c r="L2" s="1" t="s">
        <v>48</v>
      </c>
      <c r="M2" s="1" t="str">
        <f>_xlfn.CONCAT(J2,", ",K2,", ",L2)</f>
        <v>Moonstone Renewer, Ardent Censer, Dawncore</v>
      </c>
      <c r="N2" s="1" t="s">
        <v>49</v>
      </c>
      <c r="O2" s="1" t="s">
        <v>50</v>
      </c>
      <c r="P2" t="str">
        <f>_xlfn.CONCAT(N2, ", ", O2)</f>
        <v>Exhaust, Ignite</v>
      </c>
    </row>
    <row r="3" spans="1:16" x14ac:dyDescent="0.25">
      <c r="A3" s="3">
        <v>45684</v>
      </c>
      <c r="B3" s="1">
        <v>48.98</v>
      </c>
      <c r="C3" s="1">
        <v>6.13</v>
      </c>
      <c r="D3" s="1">
        <v>4.66</v>
      </c>
      <c r="E3" s="1">
        <v>15.02</v>
      </c>
      <c r="F3" s="1" t="s">
        <v>15</v>
      </c>
      <c r="G3" s="1">
        <v>55.58</v>
      </c>
      <c r="H3" s="1" t="s">
        <v>20</v>
      </c>
      <c r="I3" s="1">
        <v>43.43</v>
      </c>
      <c r="J3" s="1" t="s">
        <v>46</v>
      </c>
      <c r="K3" s="1" t="s">
        <v>51</v>
      </c>
      <c r="L3" s="1" t="s">
        <v>48</v>
      </c>
      <c r="M3" s="1" t="str">
        <f t="shared" ref="M3:M20" si="0">_xlfn.CONCAT(J3,", ",K3,", ",L3)</f>
        <v>Moonstone Renewer, Mikael's Blessing, Dawncore</v>
      </c>
      <c r="N3" s="1" t="s">
        <v>49</v>
      </c>
      <c r="O3" s="1" t="s">
        <v>52</v>
      </c>
      <c r="P3" t="str">
        <f t="shared" ref="P3:P20" si="1">_xlfn.CONCAT(N3, ", ", O3)</f>
        <v>Exhaust, Heal</v>
      </c>
    </row>
    <row r="4" spans="1:16" x14ac:dyDescent="0.25">
      <c r="A4" s="3">
        <v>45693</v>
      </c>
      <c r="B4" s="1">
        <v>48.58</v>
      </c>
      <c r="C4" s="1">
        <v>7.04</v>
      </c>
      <c r="D4" s="1">
        <v>10.32</v>
      </c>
      <c r="E4" s="1">
        <v>15.03</v>
      </c>
      <c r="F4" s="1" t="s">
        <v>53</v>
      </c>
      <c r="G4" s="1">
        <v>61.9</v>
      </c>
      <c r="H4" s="1" t="s">
        <v>24</v>
      </c>
      <c r="I4" s="1">
        <v>37.340000000000003</v>
      </c>
      <c r="J4" s="1" t="s">
        <v>46</v>
      </c>
      <c r="K4" s="1" t="s">
        <v>47</v>
      </c>
      <c r="L4" s="1" t="s">
        <v>48</v>
      </c>
      <c r="M4" s="1" t="str">
        <f t="shared" si="0"/>
        <v>Moonstone Renewer, Ardent Censer, Dawncore</v>
      </c>
      <c r="N4" s="1" t="s">
        <v>49</v>
      </c>
      <c r="O4" s="1" t="s">
        <v>50</v>
      </c>
      <c r="P4" t="str">
        <f t="shared" si="1"/>
        <v>Exhaust, Ignite</v>
      </c>
    </row>
    <row r="5" spans="1:16" x14ac:dyDescent="0.25">
      <c r="A5" s="3">
        <v>45708</v>
      </c>
      <c r="B5" s="1">
        <v>49.61</v>
      </c>
      <c r="C5" s="1">
        <v>6.44</v>
      </c>
      <c r="D5" s="1">
        <v>5.86</v>
      </c>
      <c r="E5" s="1">
        <v>15.04</v>
      </c>
      <c r="F5" s="1" t="s">
        <v>12</v>
      </c>
      <c r="G5" s="1">
        <v>70.27</v>
      </c>
      <c r="H5" s="1" t="s">
        <v>54</v>
      </c>
      <c r="I5" s="1">
        <v>38.46</v>
      </c>
      <c r="J5" s="1" t="s">
        <v>46</v>
      </c>
      <c r="K5" s="1" t="s">
        <v>47</v>
      </c>
      <c r="L5" s="1" t="s">
        <v>55</v>
      </c>
      <c r="M5" s="1" t="str">
        <f t="shared" si="0"/>
        <v>Moonstone Renewer, Ardent Censer, Redemption</v>
      </c>
      <c r="N5" s="1" t="s">
        <v>49</v>
      </c>
      <c r="O5" s="1" t="s">
        <v>52</v>
      </c>
      <c r="P5" t="str">
        <f t="shared" si="1"/>
        <v>Exhaust, Heal</v>
      </c>
    </row>
    <row r="6" spans="1:16" x14ac:dyDescent="0.25">
      <c r="A6" s="3">
        <v>45728</v>
      </c>
      <c r="B6" s="1">
        <v>49.44</v>
      </c>
      <c r="C6" s="1">
        <v>5.9</v>
      </c>
      <c r="D6" s="1">
        <v>5.74</v>
      </c>
      <c r="E6" s="1">
        <v>15.05</v>
      </c>
      <c r="F6" s="1" t="s">
        <v>56</v>
      </c>
      <c r="G6" s="1">
        <v>55.15</v>
      </c>
      <c r="H6" s="1" t="s">
        <v>57</v>
      </c>
      <c r="I6" s="1">
        <v>45.49</v>
      </c>
      <c r="J6" s="1" t="s">
        <v>46</v>
      </c>
      <c r="K6" s="1" t="s">
        <v>47</v>
      </c>
      <c r="L6" s="1" t="s">
        <v>48</v>
      </c>
      <c r="M6" s="1" t="str">
        <f t="shared" si="0"/>
        <v>Moonstone Renewer, Ardent Censer, Dawncore</v>
      </c>
      <c r="N6" s="1" t="s">
        <v>49</v>
      </c>
      <c r="O6" s="1" t="s">
        <v>52</v>
      </c>
      <c r="P6" t="str">
        <f t="shared" si="1"/>
        <v>Exhaust, Heal</v>
      </c>
    </row>
    <row r="7" spans="1:16" x14ac:dyDescent="0.25">
      <c r="A7" s="3">
        <v>45741</v>
      </c>
      <c r="B7" s="1">
        <v>49.97</v>
      </c>
      <c r="C7" s="1">
        <v>6.22</v>
      </c>
      <c r="D7" s="1">
        <v>6.36</v>
      </c>
      <c r="E7" s="1">
        <v>15.06</v>
      </c>
      <c r="F7" s="1" t="s">
        <v>58</v>
      </c>
      <c r="G7" s="1">
        <v>56.27</v>
      </c>
      <c r="H7" s="1" t="s">
        <v>16</v>
      </c>
      <c r="I7" s="1">
        <v>45.68</v>
      </c>
      <c r="J7" s="1" t="s">
        <v>46</v>
      </c>
      <c r="K7" s="1" t="s">
        <v>47</v>
      </c>
      <c r="L7" s="1" t="s">
        <v>48</v>
      </c>
      <c r="M7" s="1" t="str">
        <f t="shared" si="0"/>
        <v>Moonstone Renewer, Ardent Censer, Dawncore</v>
      </c>
      <c r="N7" s="1" t="s">
        <v>49</v>
      </c>
      <c r="O7" s="1" t="s">
        <v>52</v>
      </c>
      <c r="P7" t="str">
        <f t="shared" si="1"/>
        <v>Exhaust, Heal</v>
      </c>
    </row>
    <row r="8" spans="1:16" x14ac:dyDescent="0.25">
      <c r="A8" s="3">
        <v>45761</v>
      </c>
      <c r="B8" s="1">
        <v>50.28</v>
      </c>
      <c r="C8" s="1">
        <v>8.4600000000000009</v>
      </c>
      <c r="D8" s="1">
        <v>15.53</v>
      </c>
      <c r="E8" s="1">
        <v>15.07</v>
      </c>
      <c r="F8" s="1" t="s">
        <v>59</v>
      </c>
      <c r="G8" s="1">
        <v>60.23</v>
      </c>
      <c r="H8" s="1" t="s">
        <v>16</v>
      </c>
      <c r="I8" s="1">
        <v>44.15</v>
      </c>
      <c r="J8" s="1" t="s">
        <v>51</v>
      </c>
      <c r="K8" s="1" t="s">
        <v>46</v>
      </c>
      <c r="L8" s="1" t="s">
        <v>47</v>
      </c>
      <c r="M8" s="1" t="str">
        <f t="shared" si="0"/>
        <v>Mikael's Blessing, Moonstone Renewer, Ardent Censer</v>
      </c>
      <c r="N8" s="1" t="s">
        <v>49</v>
      </c>
      <c r="O8" s="1" t="s">
        <v>52</v>
      </c>
      <c r="P8" t="str">
        <f t="shared" si="1"/>
        <v>Exhaust, Heal</v>
      </c>
    </row>
    <row r="9" spans="1:16" x14ac:dyDescent="0.25">
      <c r="A9" s="3">
        <v>45777</v>
      </c>
      <c r="B9" s="1">
        <v>48.81</v>
      </c>
      <c r="C9" s="1">
        <v>5.97</v>
      </c>
      <c r="D9" s="1">
        <v>7.46</v>
      </c>
      <c r="E9" s="1">
        <v>15.08</v>
      </c>
      <c r="F9" s="1" t="s">
        <v>15</v>
      </c>
      <c r="G9" s="1">
        <v>54.38</v>
      </c>
      <c r="H9" s="1" t="s">
        <v>16</v>
      </c>
      <c r="I9" s="1">
        <v>44.79</v>
      </c>
      <c r="J9" s="1" t="s">
        <v>47</v>
      </c>
      <c r="K9" s="1" t="s">
        <v>46</v>
      </c>
      <c r="L9" s="1" t="s">
        <v>48</v>
      </c>
      <c r="M9" s="1" t="str">
        <f t="shared" si="0"/>
        <v>Ardent Censer, Moonstone Renewer, Dawncore</v>
      </c>
      <c r="N9" s="1" t="s">
        <v>49</v>
      </c>
      <c r="O9" s="1" t="s">
        <v>52</v>
      </c>
      <c r="P9" t="str">
        <f t="shared" si="1"/>
        <v>Exhaust, Heal</v>
      </c>
    </row>
    <row r="10" spans="1:16" x14ac:dyDescent="0.25">
      <c r="A10" s="3">
        <v>45791</v>
      </c>
      <c r="B10" s="1">
        <v>49.53</v>
      </c>
      <c r="C10" s="1">
        <v>5.77</v>
      </c>
      <c r="D10" s="1">
        <v>7.11</v>
      </c>
      <c r="E10" s="1">
        <v>15.09</v>
      </c>
      <c r="F10" s="1" t="s">
        <v>15</v>
      </c>
      <c r="G10" s="1">
        <v>56.45</v>
      </c>
      <c r="H10" s="1" t="s">
        <v>13</v>
      </c>
      <c r="I10" s="1">
        <v>44.98</v>
      </c>
      <c r="J10" s="1" t="s">
        <v>46</v>
      </c>
      <c r="K10" s="1" t="s">
        <v>47</v>
      </c>
      <c r="L10" s="1" t="s">
        <v>48</v>
      </c>
      <c r="M10" s="1" t="str">
        <f t="shared" si="0"/>
        <v>Moonstone Renewer, Ardent Censer, Dawncore</v>
      </c>
      <c r="N10" s="1" t="s">
        <v>49</v>
      </c>
      <c r="O10" s="1" t="s">
        <v>52</v>
      </c>
      <c r="P10" t="str">
        <f t="shared" si="1"/>
        <v>Exhaust, Heal</v>
      </c>
    </row>
    <row r="11" spans="1:16" x14ac:dyDescent="0.25">
      <c r="A11" s="3">
        <v>45827</v>
      </c>
      <c r="B11" s="1">
        <v>48.85</v>
      </c>
      <c r="C11" s="1">
        <v>5.52</v>
      </c>
      <c r="D11" s="1">
        <v>6.47</v>
      </c>
      <c r="E11" s="1">
        <v>15.1</v>
      </c>
      <c r="F11" s="1" t="s">
        <v>15</v>
      </c>
      <c r="G11" s="1">
        <v>55.88</v>
      </c>
      <c r="H11" s="1" t="s">
        <v>16</v>
      </c>
      <c r="I11" s="1">
        <v>44.56</v>
      </c>
      <c r="J11" s="1" t="s">
        <v>47</v>
      </c>
      <c r="K11" s="1" t="s">
        <v>51</v>
      </c>
      <c r="L11" s="1" t="s">
        <v>46</v>
      </c>
      <c r="M11" s="1" t="str">
        <f t="shared" si="0"/>
        <v>Ardent Censer, Mikael's Blessing, Moonstone Renewer</v>
      </c>
      <c r="N11" s="1" t="s">
        <v>49</v>
      </c>
      <c r="O11" s="1" t="s">
        <v>52</v>
      </c>
      <c r="P11" t="str">
        <f t="shared" si="1"/>
        <v>Exhaust, Heal</v>
      </c>
    </row>
    <row r="12" spans="1:16" x14ac:dyDescent="0.25">
      <c r="A12" s="3">
        <v>45827</v>
      </c>
      <c r="B12" s="1">
        <v>48.67</v>
      </c>
      <c r="C12" s="1">
        <v>5.5</v>
      </c>
      <c r="D12" s="1">
        <v>6.02</v>
      </c>
      <c r="E12" s="1">
        <v>15.11</v>
      </c>
      <c r="F12" s="1" t="s">
        <v>15</v>
      </c>
      <c r="G12" s="1">
        <v>54.56</v>
      </c>
      <c r="H12" s="1" t="s">
        <v>16</v>
      </c>
      <c r="I12" s="1">
        <v>43.13</v>
      </c>
      <c r="J12" s="1" t="s">
        <v>47</v>
      </c>
      <c r="K12" s="1" t="s">
        <v>46</v>
      </c>
      <c r="L12" s="1" t="s">
        <v>48</v>
      </c>
      <c r="M12" s="1" t="str">
        <f t="shared" si="0"/>
        <v>Ardent Censer, Moonstone Renewer, Dawncore</v>
      </c>
      <c r="N12" s="1" t="s">
        <v>49</v>
      </c>
      <c r="O12" s="1" t="s">
        <v>52</v>
      </c>
      <c r="P12" t="str">
        <f t="shared" si="1"/>
        <v>Exhaust, Heal</v>
      </c>
    </row>
    <row r="13" spans="1:16" x14ac:dyDescent="0.25">
      <c r="A13" s="3">
        <v>45827</v>
      </c>
      <c r="B13" s="1">
        <v>49.2</v>
      </c>
      <c r="C13" s="1">
        <v>5.8</v>
      </c>
      <c r="D13" s="1">
        <v>6.26</v>
      </c>
      <c r="E13" s="1">
        <v>15.12</v>
      </c>
      <c r="F13" s="1" t="s">
        <v>15</v>
      </c>
      <c r="G13" s="1">
        <v>54.97</v>
      </c>
      <c r="H13" s="1" t="s">
        <v>16</v>
      </c>
      <c r="I13" s="1">
        <v>43.8</v>
      </c>
      <c r="J13" s="1" t="s">
        <v>46</v>
      </c>
      <c r="K13" s="1" t="s">
        <v>47</v>
      </c>
      <c r="L13" s="1" t="s">
        <v>48</v>
      </c>
      <c r="M13" s="1" t="str">
        <f t="shared" si="0"/>
        <v>Moonstone Renewer, Ardent Censer, Dawncore</v>
      </c>
      <c r="N13" s="1" t="s">
        <v>49</v>
      </c>
      <c r="O13" s="1" t="s">
        <v>52</v>
      </c>
      <c r="P13" t="str">
        <f t="shared" si="1"/>
        <v>Exhaust, Heal</v>
      </c>
    </row>
    <row r="14" spans="1:16" x14ac:dyDescent="0.25">
      <c r="A14" s="3">
        <v>45848</v>
      </c>
      <c r="B14" s="1">
        <v>49.11</v>
      </c>
      <c r="C14" s="1">
        <v>5.82</v>
      </c>
      <c r="D14" s="1">
        <v>6.89</v>
      </c>
      <c r="E14" s="1">
        <v>15.13</v>
      </c>
      <c r="F14" s="1" t="s">
        <v>15</v>
      </c>
      <c r="G14" s="1">
        <v>55.94</v>
      </c>
      <c r="H14" s="1" t="s">
        <v>16</v>
      </c>
      <c r="I14" s="1">
        <v>44.03</v>
      </c>
      <c r="J14" s="1" t="s">
        <v>46</v>
      </c>
      <c r="K14" s="1" t="s">
        <v>47</v>
      </c>
      <c r="L14" s="1" t="s">
        <v>48</v>
      </c>
      <c r="M14" s="1" t="str">
        <f t="shared" si="0"/>
        <v>Moonstone Renewer, Ardent Censer, Dawncore</v>
      </c>
      <c r="N14" s="1" t="s">
        <v>49</v>
      </c>
      <c r="O14" s="1" t="s">
        <v>52</v>
      </c>
      <c r="P14" t="str">
        <f t="shared" si="1"/>
        <v>Exhaust, Heal</v>
      </c>
    </row>
    <row r="15" spans="1:16" x14ac:dyDescent="0.25">
      <c r="A15" s="3">
        <v>45875</v>
      </c>
      <c r="B15" s="1">
        <v>48.73</v>
      </c>
      <c r="C15" s="1">
        <v>5.76</v>
      </c>
      <c r="D15" s="1">
        <v>6.31</v>
      </c>
      <c r="E15" s="1">
        <v>15.14</v>
      </c>
      <c r="F15" s="1" t="s">
        <v>15</v>
      </c>
      <c r="G15" s="1">
        <v>55.07</v>
      </c>
      <c r="H15" s="1" t="s">
        <v>20</v>
      </c>
      <c r="I15" s="1">
        <v>44.25</v>
      </c>
      <c r="J15" s="1" t="s">
        <v>47</v>
      </c>
      <c r="K15" s="1" t="s">
        <v>46</v>
      </c>
      <c r="L15" s="1" t="s">
        <v>48</v>
      </c>
      <c r="M15" s="1" t="str">
        <f t="shared" si="0"/>
        <v>Ardent Censer, Moonstone Renewer, Dawncore</v>
      </c>
      <c r="N15" s="1" t="s">
        <v>49</v>
      </c>
      <c r="O15" s="1" t="s">
        <v>52</v>
      </c>
      <c r="P15" t="str">
        <f t="shared" si="1"/>
        <v>Exhaust, Heal</v>
      </c>
    </row>
    <row r="16" spans="1:16" x14ac:dyDescent="0.25">
      <c r="A16" s="3">
        <v>45875</v>
      </c>
      <c r="B16" s="1">
        <v>48.81</v>
      </c>
      <c r="C16" s="1">
        <v>5.72</v>
      </c>
      <c r="D16" s="1">
        <v>6.61</v>
      </c>
      <c r="E16" s="1">
        <v>15.15</v>
      </c>
      <c r="F16" s="1" t="s">
        <v>15</v>
      </c>
      <c r="G16" s="1">
        <v>57.19</v>
      </c>
      <c r="H16" s="1" t="s">
        <v>20</v>
      </c>
      <c r="I16" s="1">
        <v>44.03</v>
      </c>
      <c r="J16" s="1" t="s">
        <v>47</v>
      </c>
      <c r="K16" s="1" t="s">
        <v>46</v>
      </c>
      <c r="L16" s="1" t="s">
        <v>48</v>
      </c>
      <c r="M16" s="1" t="str">
        <f t="shared" si="0"/>
        <v>Ardent Censer, Moonstone Renewer, Dawncore</v>
      </c>
      <c r="N16" s="1" t="s">
        <v>49</v>
      </c>
      <c r="O16" s="1" t="s">
        <v>52</v>
      </c>
      <c r="P16" t="str">
        <f t="shared" si="1"/>
        <v>Exhaust, Heal</v>
      </c>
    </row>
    <row r="17" spans="1:16" x14ac:dyDescent="0.25">
      <c r="A17" s="3">
        <v>45910</v>
      </c>
      <c r="B17" s="1">
        <v>47.93</v>
      </c>
      <c r="C17" s="1">
        <v>4.8899999999999997</v>
      </c>
      <c r="D17" s="1">
        <v>5.63</v>
      </c>
      <c r="E17" s="1">
        <v>15.17</v>
      </c>
      <c r="F17" s="1" t="s">
        <v>12</v>
      </c>
      <c r="G17" s="1">
        <v>53.17</v>
      </c>
      <c r="H17" s="1" t="s">
        <v>24</v>
      </c>
      <c r="I17" s="1">
        <v>44.25</v>
      </c>
      <c r="J17" s="1" t="s">
        <v>47</v>
      </c>
      <c r="K17" s="1" t="s">
        <v>46</v>
      </c>
      <c r="L17" s="1" t="s">
        <v>48</v>
      </c>
      <c r="M17" s="1" t="str">
        <f t="shared" si="0"/>
        <v>Ardent Censer, Moonstone Renewer, Dawncore</v>
      </c>
      <c r="N17" s="1" t="s">
        <v>49</v>
      </c>
      <c r="O17" s="1" t="s">
        <v>52</v>
      </c>
      <c r="P17" t="str">
        <f t="shared" si="1"/>
        <v>Exhaust, Heal</v>
      </c>
    </row>
    <row r="18" spans="1:16" x14ac:dyDescent="0.25">
      <c r="A18" s="3">
        <v>45939</v>
      </c>
      <c r="B18" s="1">
        <v>47.36</v>
      </c>
      <c r="C18" s="1">
        <v>4.3899999999999997</v>
      </c>
      <c r="D18" s="1">
        <v>5.26</v>
      </c>
      <c r="E18" s="1">
        <v>15.19</v>
      </c>
      <c r="F18" s="1" t="s">
        <v>19</v>
      </c>
      <c r="G18" s="1">
        <v>51.49</v>
      </c>
      <c r="H18" s="1" t="s">
        <v>20</v>
      </c>
      <c r="I18" s="1">
        <v>42.94</v>
      </c>
      <c r="J18" s="1" t="s">
        <v>46</v>
      </c>
      <c r="K18" s="1" t="s">
        <v>47</v>
      </c>
      <c r="L18" s="1" t="s">
        <v>48</v>
      </c>
      <c r="M18" s="1" t="str">
        <f t="shared" si="0"/>
        <v>Moonstone Renewer, Ardent Censer, Dawncore</v>
      </c>
      <c r="N18" s="1" t="s">
        <v>49</v>
      </c>
      <c r="O18" s="1" t="s">
        <v>52</v>
      </c>
      <c r="P18" t="str">
        <f t="shared" si="1"/>
        <v>Exhaust, Heal</v>
      </c>
    </row>
    <row r="19" spans="1:16" x14ac:dyDescent="0.25">
      <c r="A19" s="3">
        <v>45982</v>
      </c>
      <c r="B19" s="1">
        <v>47.27</v>
      </c>
      <c r="C19" s="1">
        <v>3.97</v>
      </c>
      <c r="D19" s="1">
        <v>4.6399999999999997</v>
      </c>
      <c r="E19" s="1">
        <v>15.22</v>
      </c>
      <c r="F19" s="1" t="s">
        <v>19</v>
      </c>
      <c r="G19" s="1">
        <v>52.12</v>
      </c>
      <c r="H19" s="1" t="s">
        <v>13</v>
      </c>
      <c r="I19" s="1">
        <v>43.71</v>
      </c>
      <c r="J19" s="1" t="s">
        <v>51</v>
      </c>
      <c r="K19" s="1" t="s">
        <v>46</v>
      </c>
      <c r="L19" s="1" t="s">
        <v>47</v>
      </c>
      <c r="M19" s="1" t="str">
        <f t="shared" si="0"/>
        <v>Mikael's Blessing, Moonstone Renewer, Ardent Censer</v>
      </c>
      <c r="N19" s="1" t="s">
        <v>49</v>
      </c>
      <c r="O19" s="1" t="s">
        <v>52</v>
      </c>
      <c r="P19" t="str">
        <f t="shared" si="1"/>
        <v>Exhaust, Heal</v>
      </c>
    </row>
    <row r="20" spans="1:16" x14ac:dyDescent="0.25">
      <c r="A20" s="3">
        <v>46009</v>
      </c>
      <c r="B20" s="1">
        <v>47.07</v>
      </c>
      <c r="C20" s="1">
        <v>4.13</v>
      </c>
      <c r="D20" s="1">
        <v>4.3899999999999997</v>
      </c>
      <c r="E20" s="1">
        <v>15.23</v>
      </c>
      <c r="F20" s="1" t="s">
        <v>15</v>
      </c>
      <c r="G20" s="1">
        <v>56.07</v>
      </c>
      <c r="H20" s="1" t="s">
        <v>60</v>
      </c>
      <c r="I20" s="1">
        <v>42.53</v>
      </c>
      <c r="J20" s="1" t="s">
        <v>46</v>
      </c>
      <c r="K20" s="1" t="s">
        <v>47</v>
      </c>
      <c r="L20" s="1" t="s">
        <v>48</v>
      </c>
      <c r="M20" s="1" t="str">
        <f t="shared" si="0"/>
        <v>Moonstone Renewer, Ardent Censer, Dawncore</v>
      </c>
      <c r="N20" s="1" t="s">
        <v>49</v>
      </c>
      <c r="O20" s="1" t="s">
        <v>52</v>
      </c>
      <c r="P20" t="str">
        <f t="shared" si="1"/>
        <v>Exhaust, Heal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A254-B862-4437-B8FC-919FE6A8301B}">
  <dimension ref="A1:E21"/>
  <sheetViews>
    <sheetView workbookViewId="0">
      <selection activeCell="E47" sqref="A23:E47"/>
    </sheetView>
  </sheetViews>
  <sheetFormatPr defaultRowHeight="15" x14ac:dyDescent="0.25"/>
  <cols>
    <col min="2" max="2" width="31.28515625" bestFit="1" customWidth="1"/>
    <col min="3" max="3" width="34.42578125" bestFit="1" customWidth="1"/>
    <col min="4" max="4" width="26" bestFit="1" customWidth="1"/>
    <col min="5" max="5" width="23.42578125" bestFit="1" customWidth="1"/>
  </cols>
  <sheetData>
    <row r="1" spans="1:5" x14ac:dyDescent="0.25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</row>
    <row r="2" spans="1:5" x14ac:dyDescent="0.25">
      <c r="A2" s="9">
        <v>15.02</v>
      </c>
      <c r="B2" s="9" t="s">
        <v>66</v>
      </c>
      <c r="C2" s="10"/>
      <c r="D2" s="10"/>
      <c r="E2" s="10"/>
    </row>
    <row r="3" spans="1:5" x14ac:dyDescent="0.25">
      <c r="A3" s="9">
        <v>15.02</v>
      </c>
      <c r="B3" s="9" t="s">
        <v>67</v>
      </c>
      <c r="C3" s="10"/>
      <c r="D3" s="10"/>
      <c r="E3" s="10"/>
    </row>
    <row r="4" spans="1:5" x14ac:dyDescent="0.25">
      <c r="A4" s="9">
        <v>15.03</v>
      </c>
      <c r="B4" s="10"/>
      <c r="C4" s="10"/>
      <c r="D4" s="9" t="s">
        <v>68</v>
      </c>
      <c r="E4" s="10"/>
    </row>
    <row r="5" spans="1:5" x14ac:dyDescent="0.25">
      <c r="A5" s="9">
        <v>15.03</v>
      </c>
      <c r="B5" s="10"/>
      <c r="C5" s="10"/>
      <c r="D5" s="9" t="s">
        <v>69</v>
      </c>
      <c r="E5" s="10"/>
    </row>
    <row r="6" spans="1:5" x14ac:dyDescent="0.25">
      <c r="A6" s="9">
        <v>15.04</v>
      </c>
      <c r="B6" s="10"/>
      <c r="C6" s="10"/>
      <c r="D6" s="9" t="s">
        <v>70</v>
      </c>
      <c r="E6" s="10"/>
    </row>
    <row r="7" spans="1:5" x14ac:dyDescent="0.25">
      <c r="A7" s="9">
        <v>15.05</v>
      </c>
      <c r="B7" s="10"/>
      <c r="C7" s="9" t="s">
        <v>71</v>
      </c>
      <c r="D7" s="10"/>
      <c r="E7" s="10"/>
    </row>
    <row r="8" spans="1:5" x14ac:dyDescent="0.25">
      <c r="A8" s="9">
        <v>15.05</v>
      </c>
      <c r="B8" s="10"/>
      <c r="C8" s="9" t="s">
        <v>72</v>
      </c>
      <c r="D8" s="10"/>
      <c r="E8" s="10"/>
    </row>
    <row r="9" spans="1:5" x14ac:dyDescent="0.25">
      <c r="A9" s="9">
        <v>15.07</v>
      </c>
      <c r="B9" s="10"/>
      <c r="C9" s="10"/>
      <c r="D9" s="9" t="s">
        <v>70</v>
      </c>
      <c r="E9" s="10"/>
    </row>
    <row r="10" spans="1:5" x14ac:dyDescent="0.25">
      <c r="A10" s="9">
        <v>15.08</v>
      </c>
      <c r="B10" s="9" t="s">
        <v>73</v>
      </c>
      <c r="C10" s="9" t="s">
        <v>74</v>
      </c>
      <c r="D10" s="9" t="s">
        <v>70</v>
      </c>
      <c r="E10" s="10"/>
    </row>
    <row r="11" spans="1:5" x14ac:dyDescent="0.25">
      <c r="A11" s="9">
        <v>15.08</v>
      </c>
      <c r="B11" s="9" t="s">
        <v>75</v>
      </c>
      <c r="C11" s="10"/>
      <c r="D11" s="10"/>
      <c r="E11" s="10"/>
    </row>
    <row r="12" spans="1:5" x14ac:dyDescent="0.25">
      <c r="A12" s="9">
        <v>15.09</v>
      </c>
      <c r="B12" s="10"/>
      <c r="C12" s="9" t="s">
        <v>76</v>
      </c>
      <c r="D12" s="10"/>
      <c r="E12" s="10"/>
    </row>
    <row r="13" spans="1:5" x14ac:dyDescent="0.25">
      <c r="A13" s="9">
        <v>15.1</v>
      </c>
      <c r="B13" s="9" t="s">
        <v>77</v>
      </c>
      <c r="C13" s="10"/>
      <c r="D13" s="9" t="s">
        <v>70</v>
      </c>
      <c r="E13" s="10"/>
    </row>
    <row r="14" spans="1:5" x14ac:dyDescent="0.25">
      <c r="A14" s="9">
        <v>15.12</v>
      </c>
      <c r="B14" s="10"/>
      <c r="C14" s="9" t="s">
        <v>78</v>
      </c>
      <c r="D14" s="10"/>
      <c r="E14" s="10"/>
    </row>
    <row r="15" spans="1:5" x14ac:dyDescent="0.25">
      <c r="A15" s="9">
        <v>15.14</v>
      </c>
      <c r="B15" s="9" t="s">
        <v>77</v>
      </c>
      <c r="C15" s="10"/>
      <c r="D15" s="10"/>
      <c r="E15" s="9" t="s">
        <v>79</v>
      </c>
    </row>
    <row r="16" spans="1:5" x14ac:dyDescent="0.25">
      <c r="A16" s="9">
        <v>15.16</v>
      </c>
      <c r="B16" s="9" t="s">
        <v>80</v>
      </c>
      <c r="C16" s="9" t="s">
        <v>76</v>
      </c>
      <c r="D16" s="9" t="s">
        <v>70</v>
      </c>
      <c r="E16" s="10"/>
    </row>
    <row r="17" spans="1:5" x14ac:dyDescent="0.25">
      <c r="A17" s="9">
        <v>15.16</v>
      </c>
      <c r="B17" s="9" t="s">
        <v>81</v>
      </c>
      <c r="C17" s="10"/>
      <c r="D17" s="10"/>
      <c r="E17" s="10"/>
    </row>
    <row r="18" spans="1:5" x14ac:dyDescent="0.25">
      <c r="A18" s="9">
        <v>15.17</v>
      </c>
      <c r="B18" s="10"/>
      <c r="C18" s="9" t="s">
        <v>76</v>
      </c>
      <c r="D18" s="10"/>
      <c r="E18" s="10"/>
    </row>
    <row r="19" spans="1:5" x14ac:dyDescent="0.25">
      <c r="A19" s="9">
        <v>15.18</v>
      </c>
      <c r="B19" s="10"/>
      <c r="C19" s="9" t="s">
        <v>50</v>
      </c>
      <c r="D19" s="10"/>
      <c r="E19" s="10"/>
    </row>
    <row r="20" spans="1:5" x14ac:dyDescent="0.25">
      <c r="A20" s="9">
        <v>15.19</v>
      </c>
      <c r="B20" s="10"/>
      <c r="C20" s="9" t="s">
        <v>72</v>
      </c>
      <c r="D20" s="9" t="s">
        <v>55</v>
      </c>
      <c r="E20" s="10"/>
    </row>
    <row r="21" spans="1:5" x14ac:dyDescent="0.25">
      <c r="A21" s="9">
        <v>15.21</v>
      </c>
      <c r="B21" s="10"/>
      <c r="C21" s="9" t="s">
        <v>78</v>
      </c>
      <c r="D21" s="9" t="s">
        <v>76</v>
      </c>
      <c r="E2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0540-582A-445A-BF4E-B9DD14454855}">
  <dimension ref="A1:E25"/>
  <sheetViews>
    <sheetView topLeftCell="A7" workbookViewId="0">
      <selection activeCell="M12" sqref="M12"/>
    </sheetView>
  </sheetViews>
  <sheetFormatPr defaultRowHeight="15" x14ac:dyDescent="0.25"/>
  <cols>
    <col min="2" max="2" width="20.28515625" customWidth="1"/>
  </cols>
  <sheetData>
    <row r="1" spans="1:5" x14ac:dyDescent="0.25">
      <c r="A1" t="s">
        <v>61</v>
      </c>
      <c r="B1" t="s">
        <v>82</v>
      </c>
      <c r="C1" t="s">
        <v>83</v>
      </c>
      <c r="D1" t="s">
        <v>84</v>
      </c>
      <c r="E1" t="s">
        <v>85</v>
      </c>
    </row>
    <row r="2" spans="1:5" x14ac:dyDescent="0.25">
      <c r="A2" s="9">
        <v>15.02</v>
      </c>
      <c r="B2" t="s">
        <v>86</v>
      </c>
      <c r="C2" t="s">
        <v>87</v>
      </c>
      <c r="D2">
        <v>1</v>
      </c>
      <c r="E2" t="s">
        <v>88</v>
      </c>
    </row>
    <row r="3" spans="1:5" x14ac:dyDescent="0.25">
      <c r="A3" s="9">
        <v>15.03</v>
      </c>
      <c r="B3" t="s">
        <v>89</v>
      </c>
      <c r="C3" t="s">
        <v>90</v>
      </c>
      <c r="D3">
        <v>2</v>
      </c>
      <c r="E3" t="s">
        <v>91</v>
      </c>
    </row>
    <row r="4" spans="1:5" x14ac:dyDescent="0.25">
      <c r="A4" s="9">
        <v>15.04</v>
      </c>
      <c r="B4" t="s">
        <v>92</v>
      </c>
      <c r="C4" t="s">
        <v>90</v>
      </c>
      <c r="D4">
        <v>3</v>
      </c>
      <c r="E4" t="s">
        <v>93</v>
      </c>
    </row>
    <row r="5" spans="1:5" x14ac:dyDescent="0.25">
      <c r="A5" s="9">
        <v>15.05</v>
      </c>
      <c r="B5" t="s">
        <v>89</v>
      </c>
      <c r="C5" t="s">
        <v>87</v>
      </c>
      <c r="D5">
        <v>4</v>
      </c>
      <c r="E5" t="s">
        <v>94</v>
      </c>
    </row>
    <row r="6" spans="1:5" x14ac:dyDescent="0.25">
      <c r="A6" s="9">
        <v>15.05</v>
      </c>
      <c r="B6" t="s">
        <v>92</v>
      </c>
      <c r="C6" t="s">
        <v>87</v>
      </c>
      <c r="D6">
        <v>5</v>
      </c>
      <c r="E6" t="s">
        <v>95</v>
      </c>
    </row>
    <row r="7" spans="1:5" x14ac:dyDescent="0.25">
      <c r="A7" s="9">
        <v>15.07</v>
      </c>
      <c r="B7" t="s">
        <v>92</v>
      </c>
      <c r="C7" t="s">
        <v>90</v>
      </c>
      <c r="D7">
        <v>6</v>
      </c>
      <c r="E7" t="s">
        <v>93</v>
      </c>
    </row>
    <row r="8" spans="1:5" x14ac:dyDescent="0.25">
      <c r="A8" s="9">
        <v>15.08</v>
      </c>
      <c r="B8" t="s">
        <v>86</v>
      </c>
      <c r="C8" t="s">
        <v>90</v>
      </c>
      <c r="D8">
        <v>7</v>
      </c>
      <c r="E8" t="s">
        <v>96</v>
      </c>
    </row>
    <row r="9" spans="1:5" x14ac:dyDescent="0.25">
      <c r="A9" s="9">
        <v>15.08</v>
      </c>
      <c r="B9" t="s">
        <v>92</v>
      </c>
      <c r="C9" t="s">
        <v>87</v>
      </c>
      <c r="D9">
        <v>8</v>
      </c>
      <c r="E9" t="s">
        <v>97</v>
      </c>
    </row>
    <row r="10" spans="1:5" x14ac:dyDescent="0.25">
      <c r="A10" s="9">
        <v>15.08</v>
      </c>
      <c r="B10" t="s">
        <v>92</v>
      </c>
      <c r="C10" t="s">
        <v>90</v>
      </c>
      <c r="D10">
        <v>9</v>
      </c>
      <c r="E10" t="s">
        <v>93</v>
      </c>
    </row>
    <row r="11" spans="1:5" x14ac:dyDescent="0.25">
      <c r="A11" s="9">
        <v>15.09</v>
      </c>
      <c r="B11" t="s">
        <v>92</v>
      </c>
      <c r="C11" t="s">
        <v>87</v>
      </c>
      <c r="D11">
        <v>10</v>
      </c>
      <c r="E11" t="s">
        <v>98</v>
      </c>
    </row>
    <row r="12" spans="1:5" x14ac:dyDescent="0.25">
      <c r="A12" s="9">
        <v>15.1</v>
      </c>
      <c r="B12" t="s">
        <v>86</v>
      </c>
      <c r="C12" t="s">
        <v>90</v>
      </c>
      <c r="D12">
        <v>11</v>
      </c>
      <c r="E12" t="s">
        <v>99</v>
      </c>
    </row>
    <row r="13" spans="1:5" x14ac:dyDescent="0.25">
      <c r="A13" s="9">
        <v>15.1</v>
      </c>
      <c r="B13" t="s">
        <v>92</v>
      </c>
      <c r="C13" t="s">
        <v>90</v>
      </c>
      <c r="D13">
        <v>12</v>
      </c>
      <c r="E13" t="s">
        <v>93</v>
      </c>
    </row>
    <row r="14" spans="1:5" x14ac:dyDescent="0.25">
      <c r="A14" s="9">
        <v>15.12</v>
      </c>
      <c r="B14" t="s">
        <v>92</v>
      </c>
      <c r="C14" t="s">
        <v>87</v>
      </c>
      <c r="D14">
        <v>13</v>
      </c>
      <c r="E14" t="s">
        <v>100</v>
      </c>
    </row>
    <row r="15" spans="1:5" x14ac:dyDescent="0.25">
      <c r="A15" s="9">
        <v>15.14</v>
      </c>
      <c r="B15" t="s">
        <v>86</v>
      </c>
      <c r="C15" t="s">
        <v>90</v>
      </c>
      <c r="D15">
        <v>14</v>
      </c>
      <c r="E15" t="s">
        <v>99</v>
      </c>
    </row>
    <row r="16" spans="1:5" x14ac:dyDescent="0.25">
      <c r="A16" s="9">
        <v>15.14</v>
      </c>
      <c r="B16" t="s">
        <v>86</v>
      </c>
      <c r="C16" t="s">
        <v>101</v>
      </c>
      <c r="D16">
        <v>15</v>
      </c>
      <c r="E16" t="s">
        <v>79</v>
      </c>
    </row>
    <row r="17" spans="1:5" x14ac:dyDescent="0.25">
      <c r="A17" s="9">
        <v>15.16</v>
      </c>
      <c r="B17" t="s">
        <v>86</v>
      </c>
      <c r="C17" t="s">
        <v>90</v>
      </c>
      <c r="D17">
        <v>16</v>
      </c>
      <c r="E17" t="s">
        <v>102</v>
      </c>
    </row>
    <row r="18" spans="1:5" x14ac:dyDescent="0.25">
      <c r="A18" s="9">
        <v>15.16</v>
      </c>
      <c r="B18" t="s">
        <v>92</v>
      </c>
      <c r="C18" t="s">
        <v>87</v>
      </c>
      <c r="D18">
        <v>17</v>
      </c>
      <c r="E18" t="s">
        <v>98</v>
      </c>
    </row>
    <row r="19" spans="1:5" x14ac:dyDescent="0.25">
      <c r="A19" s="9">
        <v>15.16</v>
      </c>
      <c r="B19" t="s">
        <v>92</v>
      </c>
      <c r="C19" t="s">
        <v>90</v>
      </c>
      <c r="D19">
        <v>18</v>
      </c>
      <c r="E19" t="s">
        <v>93</v>
      </c>
    </row>
    <row r="20" spans="1:5" x14ac:dyDescent="0.25">
      <c r="A20" s="9">
        <v>15.17</v>
      </c>
      <c r="B20" t="s">
        <v>92</v>
      </c>
      <c r="C20" t="s">
        <v>87</v>
      </c>
      <c r="D20">
        <v>19</v>
      </c>
      <c r="E20" t="s">
        <v>98</v>
      </c>
    </row>
    <row r="21" spans="1:5" x14ac:dyDescent="0.25">
      <c r="A21" s="9">
        <v>15.18</v>
      </c>
      <c r="B21" t="s">
        <v>89</v>
      </c>
      <c r="C21" t="s">
        <v>87</v>
      </c>
      <c r="D21">
        <v>20</v>
      </c>
      <c r="E21" t="s">
        <v>103</v>
      </c>
    </row>
    <row r="22" spans="1:5" x14ac:dyDescent="0.25">
      <c r="A22" s="9">
        <v>15.19</v>
      </c>
      <c r="B22" t="s">
        <v>92</v>
      </c>
      <c r="C22" t="s">
        <v>87</v>
      </c>
      <c r="D22">
        <v>21</v>
      </c>
      <c r="E22" t="s">
        <v>95</v>
      </c>
    </row>
    <row r="23" spans="1:5" x14ac:dyDescent="0.25">
      <c r="A23" s="9">
        <v>15.19</v>
      </c>
      <c r="B23" t="s">
        <v>89</v>
      </c>
      <c r="C23" t="s">
        <v>90</v>
      </c>
      <c r="D23">
        <v>22</v>
      </c>
      <c r="E23" t="s">
        <v>104</v>
      </c>
    </row>
    <row r="24" spans="1:5" x14ac:dyDescent="0.25">
      <c r="A24" s="9">
        <v>15.21</v>
      </c>
      <c r="B24" t="s">
        <v>92</v>
      </c>
      <c r="C24" t="s">
        <v>90</v>
      </c>
      <c r="D24">
        <v>23</v>
      </c>
      <c r="E24" t="s">
        <v>105</v>
      </c>
    </row>
    <row r="25" spans="1:5" x14ac:dyDescent="0.25">
      <c r="A25">
        <v>15.21</v>
      </c>
      <c r="B25" t="s">
        <v>92</v>
      </c>
      <c r="C25" t="s">
        <v>87</v>
      </c>
      <c r="D25">
        <v>24</v>
      </c>
      <c r="E25" t="s">
        <v>100</v>
      </c>
    </row>
  </sheetData>
  <autoFilter ref="A1:E25" xr:uid="{2CBA0540-582A-445A-BF4E-B9DD1445485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a92b963-a5f9-43cb-8a19-91f158325a2f}" enabled="1" method="Standard" siteId="{bcfa3e87-841e-48c7-983b-584159dd1a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general data</vt:lpstr>
      <vt:lpstr>champion buffs related</vt:lpstr>
      <vt:lpstr>formatted buffs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Nash, Marissa</dc:creator>
  <cp:keywords/>
  <dc:description/>
  <cp:lastModifiedBy>Marissa Nash</cp:lastModifiedBy>
  <cp:revision/>
  <dcterms:created xsi:type="dcterms:W3CDTF">2026-01-03T18:51:30Z</dcterms:created>
  <dcterms:modified xsi:type="dcterms:W3CDTF">2026-05-05T01:26:17Z</dcterms:modified>
  <cp:category/>
  <cp:contentStatus/>
</cp:coreProperties>
</file>